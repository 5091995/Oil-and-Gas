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Divya\Electrical Assignment\"/>
    </mc:Choice>
  </mc:AlternateContent>
  <xr:revisionPtr revIDLastSave="0" documentId="13_ncr:1_{03F91005-3D2F-4981-96BF-1EF003584F37}" xr6:coauthVersionLast="47" xr6:coauthVersionMax="47" xr10:uidLastSave="{00000000-0000-0000-0000-000000000000}"/>
  <bookViews>
    <workbookView xWindow="28680" yWindow="480" windowWidth="29040" windowHeight="15840" tabRatio="558" activeTab="2" xr2:uid="{00000000-000D-0000-FFFF-FFFF00000000}"/>
  </bookViews>
  <sheets>
    <sheet name="Annexure A" sheetId="21" r:id="rId1"/>
    <sheet name="Trafo sizing " sheetId="8" r:id="rId2"/>
    <sheet name="Short time overloading check" sheetId="22" r:id="rId3"/>
  </sheets>
  <externalReferences>
    <externalReference r:id="rId4"/>
    <externalReference r:id="rId5"/>
    <externalReference r:id="rId6"/>
    <externalReference r:id="rId7"/>
  </externalReferences>
  <definedNames>
    <definedName name="__Row1">#REF!</definedName>
    <definedName name="_calibratn">#REF!</definedName>
    <definedName name="_cn_no">#REF!</definedName>
    <definedName name="_doc_name">#REF!</definedName>
    <definedName name="_eng_units">#REF!</definedName>
    <definedName name="_Fill" localSheetId="0" hidden="1">[1]산근!#REF!</definedName>
    <definedName name="_Fill" hidden="1">[1]산근!#REF!</definedName>
    <definedName name="_xlnm._FilterDatabase" localSheetId="0" hidden="1">'Annexure A'!$A$9:$AC$28</definedName>
    <definedName name="_Key1" localSheetId="0" hidden="1">#REF!</definedName>
    <definedName name="_Key1" hidden="1">#REF!</definedName>
    <definedName name="_ltag">#REF!</definedName>
    <definedName name="_manufactr">#REF!</definedName>
    <definedName name="_model">#REF!</definedName>
    <definedName name="_Order1" hidden="1">255</definedName>
    <definedName name="_Order2" hidden="1">255</definedName>
    <definedName name="_Parse_Out" localSheetId="0" hidden="1">[1]갑지!#REF!</definedName>
    <definedName name="_Parse_Out" hidden="1">[1]갑지!#REF!</definedName>
    <definedName name="_pid_no">#REF!</definedName>
    <definedName name="_psz">#REF!</definedName>
    <definedName name="_req_no">#REF!</definedName>
    <definedName name="_Row1">#REF!</definedName>
    <definedName name="_service">#REF!</definedName>
    <definedName name="_tag_no">#REF!</definedName>
    <definedName name="_utc_no">#REF!</definedName>
    <definedName name="AccessDatabase" hidden="1">"C:\DT\XLSFILES\NIZHNECV.mdb"</definedName>
    <definedName name="AREA" localSheetId="1">#REF!</definedName>
    <definedName name="AREA">#REF!</definedName>
    <definedName name="Button_6">"NIZHNECV_1_List"</definedName>
    <definedName name="CLASS" localSheetId="1">#REF!</definedName>
    <definedName name="CLASS">#REF!</definedName>
    <definedName name="Column1">#REF!</definedName>
    <definedName name="CONN_LOAD" localSheetId="1">#REF!</definedName>
    <definedName name="CONN_LOAD">#REF!</definedName>
    <definedName name="currentdata">#REF!</definedName>
    <definedName name="D" localSheetId="2" hidden="1">{"EqList",#N/A,FALSE,"Process"}</definedName>
    <definedName name="D" hidden="1">{"EqList",#N/A,FALSE,"Process"}</definedName>
    <definedName name="DESCRIPTION" localSheetId="1">#REF!</definedName>
    <definedName name="DESCRIPTION">#REF!</definedName>
    <definedName name="DOCDATE" localSheetId="1">#REF!</definedName>
    <definedName name="DOCDATE">#REF!</definedName>
    <definedName name="DOCNUMBER" localSheetId="1">#REF!</definedName>
    <definedName name="DOCNUMBER">#REF!</definedName>
    <definedName name="EFF" localSheetId="1">#REF!</definedName>
    <definedName name="EFF">#REF!</definedName>
    <definedName name="GRID_TABL">#REF!</definedName>
    <definedName name="HTML_CodePage" hidden="1">949</definedName>
    <definedName name="HTML_Control" localSheetId="2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insorig">#REF!</definedName>
    <definedName name="instab1">#REF!</definedName>
    <definedName name="instab2">#REF!</definedName>
    <definedName name="ITEMNO" localSheetId="1">#REF!</definedName>
    <definedName name="ITEMNO">#REF!</definedName>
    <definedName name="JK">#REF!</definedName>
    <definedName name="ju" localSheetId="2">#REF!</definedName>
    <definedName name="ju">#REF!</definedName>
    <definedName name="load">#REF!</definedName>
    <definedName name="LOAD_FACT" localSheetId="1">#REF!</definedName>
    <definedName name="LOAD_FACT">#REF!</definedName>
    <definedName name="maxwt">#REF!</definedName>
    <definedName name="mmm" localSheetId="2" hidden="1">{"EqList",#N/A,FALSE,"Process"}</definedName>
    <definedName name="mmm" hidden="1">{"EqList",#N/A,FALSE,"Process"}</definedName>
    <definedName name="mole_wt" localSheetId="0">#REF!</definedName>
    <definedName name="mole_wt">#REF!</definedName>
    <definedName name="naff">#REF!</definedName>
    <definedName name="nopaint">#REF!</definedName>
    <definedName name="ODH" localSheetId="0" hidden="1">#REF!</definedName>
    <definedName name="ODH" hidden="1">#REF!</definedName>
    <definedName name="old2new">#REF!</definedName>
    <definedName name="OP_CLASS" localSheetId="1">#REF!</definedName>
    <definedName name="OP_CLASS">#REF!</definedName>
    <definedName name="OP_KVA" localSheetId="1">#REF!</definedName>
    <definedName name="OP_KVA">#REF!</definedName>
    <definedName name="pipeindex">#REF!</definedName>
    <definedName name="pipesch">#REF!</definedName>
    <definedName name="pipetab">#REF!</definedName>
    <definedName name="pipewt">#REF!</definedName>
    <definedName name="pipwt">#REF!</definedName>
    <definedName name="POW_FACT" localSheetId="1">#REF!</definedName>
    <definedName name="POW_FACT">#REF!</definedName>
    <definedName name="previousdata">#REF!</definedName>
    <definedName name="_xlnm.Print_Area" localSheetId="0">'Annexure A'!$A$1:$AA$41</definedName>
    <definedName name="_xlnm.Print_Area" localSheetId="2">'Short time overloading check'!$A$1:$I$57</definedName>
    <definedName name="_xlnm.Print_Area" localSheetId="1">'Trafo sizing '!$A$1:$J$66</definedName>
    <definedName name="_xlnm.Print_Area">'[2]sheet 1'!$A$1:$X$47</definedName>
    <definedName name="Print_Area_MI">#REF!</definedName>
    <definedName name="_xlnm.Print_Titles" localSheetId="0">'Annexure A'!$1:$4</definedName>
    <definedName name="_xlnm.Print_Titles" localSheetId="2">#REF!</definedName>
    <definedName name="_xlnm.Print_Titles">#REF!</definedName>
    <definedName name="PRINT_TITLES_MI" localSheetId="2">#REF!</definedName>
    <definedName name="PRINT_TITLES_MI">#REF!</definedName>
    <definedName name="PROJECTNO" localSheetId="1">#REF!</definedName>
    <definedName name="PROJECTNO">#REF!</definedName>
    <definedName name="rev">#REF!</definedName>
    <definedName name="revlist">#REF!</definedName>
    <definedName name="revlistby">#REF!</definedName>
    <definedName name="revlistdate">#REF!</definedName>
    <definedName name="revlistno">#REF!</definedName>
    <definedName name="revliststatus">#REF!</definedName>
    <definedName name="REVNO" localSheetId="1">#REF!</definedName>
    <definedName name="REVNO">#REF!</definedName>
    <definedName name="sara" localSheetId="0" hidden="1">[1]갑지!#REF!</definedName>
    <definedName name="sara" hidden="1">[1]갑지!#REF!</definedName>
    <definedName name="SARA2" localSheetId="0" hidden="1">#REF!</definedName>
    <definedName name="SARA2" hidden="1">#REF!</definedName>
    <definedName name="SBY_KVA" localSheetId="1">#REF!</definedName>
    <definedName name="SBY_KVA">#REF!</definedName>
    <definedName name="sigle">#REF!</definedName>
    <definedName name="titre1">#REF!</definedName>
    <definedName name="titre2">#REF!</definedName>
    <definedName name="titreb">#REF!</definedName>
    <definedName name="TOTPAGE" localSheetId="1">#REF!</definedName>
    <definedName name="TOTPAGE">#REF!</definedName>
    <definedName name="TT" localSheetId="0" hidden="1">'[3]집계표(OPTION)'!#REF!</definedName>
    <definedName name="TT" hidden="1">'[3]집계표(OPTION)'!#REF!</definedName>
    <definedName name="TTT" localSheetId="0" hidden="1">#REF!</definedName>
    <definedName name="TTT" hidden="1">#REF!</definedName>
    <definedName name="TTY" localSheetId="0" hidden="1">[1]산근!#REF!</definedName>
    <definedName name="TTY" hidden="1">[1]산근!#REF!</definedName>
    <definedName name="v">#REF!</definedName>
    <definedName name="wrn.PUEQ." localSheetId="2" hidden="1">{"EqList",#N/A,FALSE,"Process"}</definedName>
    <definedName name="wrn.PUEQ." hidden="1">{"EqList",#N/A,FALSE,"Process"}</definedName>
    <definedName name="wrn.PUWT." localSheetId="2" hidden="1">{"WtList",#N/A,FALSE,"Process"}</definedName>
    <definedName name="wrn.PUWT." hidden="1">{"WtList",#N/A,FALSE,"Process"}</definedName>
    <definedName name="xray">#REF!</definedName>
    <definedName name="YYY" localSheetId="0" hidden="1">#REF!</definedName>
    <definedName name="YYY" hidden="1">#REF!</definedName>
    <definedName name="YYYYY" localSheetId="0" hidden="1">'[3]집계표(OPTION)'!#REF!</definedName>
    <definedName name="YYYYY" hidden="1">'[3]집계표(OPTION)'!#REF!</definedName>
    <definedName name="YYYYYYY" localSheetId="0">#REF!</definedName>
    <definedName name="YYYYYYY">#REF!</definedName>
    <definedName name="Zone_impres_MI">#REF!</definedName>
    <definedName name="부대공사" localSheetId="0" hidden="1">#REF!</definedName>
    <definedName name="부대공사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4" i="22" l="1"/>
  <c r="E38" i="8"/>
  <c r="G36" i="8"/>
  <c r="E36" i="8"/>
  <c r="E31" i="8"/>
  <c r="U8" i="8"/>
  <c r="D8" i="8"/>
  <c r="D5" i="8"/>
  <c r="E60" i="8"/>
  <c r="F34" i="22"/>
  <c r="F44" i="22"/>
  <c r="F52" i="22"/>
  <c r="D54" i="22"/>
  <c r="F40" i="22"/>
  <c r="G38" i="8"/>
  <c r="G26" i="8"/>
  <c r="E26" i="8"/>
  <c r="E23" i="8"/>
  <c r="F22" i="22"/>
  <c r="F19" i="22"/>
  <c r="E20" i="8"/>
  <c r="F26" i="22"/>
  <c r="F30" i="22" s="1"/>
  <c r="B58" i="8"/>
  <c r="E33" i="8"/>
  <c r="E22" i="8"/>
  <c r="V26" i="21"/>
  <c r="S26" i="21"/>
  <c r="I26" i="21"/>
  <c r="Y26" i="21" s="1"/>
  <c r="Y25" i="21"/>
  <c r="X25" i="21"/>
  <c r="V25" i="21"/>
  <c r="U25" i="21"/>
  <c r="S25" i="21"/>
  <c r="R25" i="21"/>
  <c r="I25" i="21"/>
  <c r="Y24" i="21"/>
  <c r="V24" i="21"/>
  <c r="I24" i="21"/>
  <c r="X24" i="21" s="1"/>
  <c r="Y23" i="21"/>
  <c r="X23" i="21"/>
  <c r="V23" i="21"/>
  <c r="U23" i="21"/>
  <c r="I23" i="21"/>
  <c r="S23" i="21" s="1"/>
  <c r="Y22" i="21"/>
  <c r="V22" i="21"/>
  <c r="S22" i="21"/>
  <c r="I22" i="21"/>
  <c r="U22" i="21" s="1"/>
  <c r="Y21" i="21"/>
  <c r="X21" i="21"/>
  <c r="V21" i="21"/>
  <c r="U21" i="21"/>
  <c r="S21" i="21"/>
  <c r="R21" i="21"/>
  <c r="I21" i="21"/>
  <c r="Y20" i="21"/>
  <c r="V20" i="21"/>
  <c r="S20" i="21"/>
  <c r="I20" i="21"/>
  <c r="R20" i="21" s="1"/>
  <c r="Y19" i="21"/>
  <c r="V19" i="21"/>
  <c r="U19" i="21"/>
  <c r="R19" i="21"/>
  <c r="I19" i="21"/>
  <c r="X19" i="21" s="1"/>
  <c r="Y18" i="21"/>
  <c r="V18" i="21"/>
  <c r="I18" i="21"/>
  <c r="X18" i="21" s="1"/>
  <c r="Y17" i="21"/>
  <c r="X17" i="21"/>
  <c r="V17" i="21"/>
  <c r="U17" i="21"/>
  <c r="S17" i="21"/>
  <c r="R17" i="21"/>
  <c r="I17" i="21"/>
  <c r="Y16" i="21"/>
  <c r="V16" i="21"/>
  <c r="I16" i="21"/>
  <c r="X16" i="21" s="1"/>
  <c r="X15" i="21"/>
  <c r="V15" i="21"/>
  <c r="U15" i="21"/>
  <c r="S15" i="21"/>
  <c r="I15" i="21"/>
  <c r="R15" i="21" s="1"/>
  <c r="Y14" i="21"/>
  <c r="V14" i="21"/>
  <c r="U14" i="21"/>
  <c r="S14" i="21"/>
  <c r="I14" i="21"/>
  <c r="R14" i="21" s="1"/>
  <c r="Y13" i="21"/>
  <c r="X13" i="21"/>
  <c r="V13" i="21"/>
  <c r="U13" i="21"/>
  <c r="S13" i="21"/>
  <c r="R13" i="21"/>
  <c r="I13" i="21"/>
  <c r="Y12" i="21"/>
  <c r="V12" i="21"/>
  <c r="S12" i="21"/>
  <c r="I12" i="21"/>
  <c r="R12" i="21" s="1"/>
  <c r="V11" i="21"/>
  <c r="V27" i="21" s="1"/>
  <c r="U11" i="21"/>
  <c r="S11" i="21"/>
  <c r="R11" i="21"/>
  <c r="I11" i="21"/>
  <c r="Y11" i="21" s="1"/>
  <c r="Y10" i="21"/>
  <c r="V10" i="21"/>
  <c r="I10" i="21"/>
  <c r="X10" i="21" s="1"/>
  <c r="R10" i="21" l="1"/>
  <c r="U12" i="21"/>
  <c r="X14" i="21"/>
  <c r="Y15" i="21"/>
  <c r="Y27" i="21" s="1"/>
  <c r="R18" i="21"/>
  <c r="S19" i="21"/>
  <c r="U20" i="21"/>
  <c r="X22" i="21"/>
  <c r="R26" i="21"/>
  <c r="S10" i="21"/>
  <c r="S18" i="21"/>
  <c r="U10" i="21"/>
  <c r="X12" i="21"/>
  <c r="R16" i="21"/>
  <c r="U18" i="21"/>
  <c r="X20" i="21"/>
  <c r="R24" i="21"/>
  <c r="U26" i="21"/>
  <c r="X11" i="21"/>
  <c r="X27" i="21" s="1"/>
  <c r="R23" i="21"/>
  <c r="S24" i="21"/>
  <c r="S16" i="21"/>
  <c r="U16" i="21"/>
  <c r="R22" i="21"/>
  <c r="U24" i="21"/>
  <c r="X26" i="21"/>
  <c r="P36" i="8"/>
  <c r="E11" i="8"/>
  <c r="R19" i="8"/>
  <c r="B21" i="8"/>
  <c r="P38" i="8"/>
  <c r="V38" i="8" l="1"/>
  <c r="X30" i="21"/>
  <c r="U27" i="21"/>
  <c r="U30" i="21" s="1"/>
  <c r="S27" i="21"/>
  <c r="E28" i="21" s="1"/>
  <c r="E32" i="21" s="1"/>
  <c r="R27" i="21"/>
  <c r="C28" i="21" l="1"/>
  <c r="R30" i="21"/>
  <c r="I28" i="21" l="1"/>
  <c r="AA30" i="21" s="1"/>
  <c r="C32" i="21"/>
  <c r="I32" i="21" s="1"/>
  <c r="E34" i="21" s="1"/>
  <c r="D4" i="8" s="1"/>
  <c r="D6" i="8" l="1"/>
  <c r="G13" i="8"/>
  <c r="G17" i="8" l="1"/>
  <c r="G28" i="8" s="1"/>
  <c r="G40" i="8" s="1"/>
  <c r="E17" i="8"/>
  <c r="E28" i="8" s="1"/>
  <c r="E40" i="8" s="1"/>
  <c r="E41" i="8" s="1"/>
  <c r="Q4" i="8"/>
  <c r="R18" i="8" s="1"/>
  <c r="R20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Wisam Hussain Malik Alalwan</author>
  </authors>
  <commentList>
    <comment ref="H23" authorId="0" shapeId="0" xr:uid="{BB379DE8-21B3-4657-936C-81E4463A4032}">
      <text>
        <r>
          <rPr>
            <b/>
            <sz val="9"/>
            <color indexed="81"/>
            <rFont val="Tahoma"/>
            <family val="2"/>
          </rPr>
          <t>Wisam Hussain Malik Alalwan:</t>
        </r>
        <r>
          <rPr>
            <sz val="9"/>
            <color indexed="81"/>
            <rFont val="Tahoma"/>
            <family val="2"/>
          </rPr>
          <t xml:space="preserve">
Pump is continuous</t>
        </r>
      </text>
    </comment>
  </commentList>
</comments>
</file>

<file path=xl/sharedStrings.xml><?xml version="1.0" encoding="utf-8"?>
<sst xmlns="http://schemas.openxmlformats.org/spreadsheetml/2006/main" count="368" uniqueCount="219">
  <si>
    <t>=</t>
  </si>
  <si>
    <t>C</t>
  </si>
  <si>
    <t>TOTAL LOAD</t>
  </si>
  <si>
    <t>REMARKS</t>
  </si>
  <si>
    <t>TOTAL OPERATING LOAD</t>
  </si>
  <si>
    <t>:</t>
  </si>
  <si>
    <t>KVA</t>
  </si>
  <si>
    <t xml:space="preserve"> AS PER ELECTRICAL LOAD DISTRIBUTION </t>
  </si>
  <si>
    <t>THE TOTAL LOAD IN KVA</t>
  </si>
  <si>
    <t>THE TRANSFORMER SELECTED</t>
  </si>
  <si>
    <t>3 % OF LOSSES</t>
  </si>
  <si>
    <t>CALCULATION OF OVERLOAD CAPACITY OF TRANSFORMER AS PER IEC 60076/ IS-6600 AS PER CL 5.1 ON PAGE NO 6</t>
  </si>
  <si>
    <t xml:space="preserve">CONSIDERING THE  P.F. </t>
  </si>
  <si>
    <t>COS F</t>
  </si>
  <si>
    <t>AVERAGE PF TAKEN FROM LOAD LIST</t>
  </si>
  <si>
    <t>K1</t>
  </si>
  <si>
    <t>INITIAL LOAD AS A FRACTION OF RATED KVA</t>
  </si>
  <si>
    <t>SO,</t>
  </si>
  <si>
    <t>SIN F</t>
  </si>
  <si>
    <t>K2</t>
  </si>
  <si>
    <t>PERMISSIBLE LOAD AS A FRACTION OF RATED KVA (MAY BE GREATER THAN UNITY)</t>
  </si>
  <si>
    <t>h</t>
  </si>
  <si>
    <t>DURATION OF K2 IN HOURS (CONSIDERING FOR 2 HOURS)</t>
  </si>
  <si>
    <t>HENCE,</t>
  </si>
  <si>
    <t>θa</t>
  </si>
  <si>
    <r>
      <t xml:space="preserve">TEMPERATURE OF COOLING MEDIUM (WEIGHTED AVERAGE) (35 </t>
    </r>
    <r>
      <rPr>
        <sz val="8"/>
        <rFont val="Calibri"/>
        <family val="2"/>
      </rPr>
      <t>°</t>
    </r>
    <r>
      <rPr>
        <sz val="8"/>
        <rFont val="Arial"/>
        <family val="2"/>
      </rPr>
      <t>C FOR THIS CASE)</t>
    </r>
  </si>
  <si>
    <t>NOTE</t>
  </si>
  <si>
    <t>S1</t>
  </si>
  <si>
    <t>AND</t>
  </si>
  <si>
    <t>S2</t>
  </si>
  <si>
    <t xml:space="preserve">    (KVA  X  COS F)  +  j  (KVA  X  SIN F)</t>
  </si>
  <si>
    <t>Sr</t>
  </si>
  <si>
    <t xml:space="preserve">         +           j</t>
  </si>
  <si>
    <t>………….[1]</t>
  </si>
  <si>
    <t xml:space="preserve">IS ANY VALUE OF POWER </t>
  </si>
  <si>
    <t>THE HIGHTEST MOTOR LOAD</t>
  </si>
  <si>
    <t>KW</t>
  </si>
  <si>
    <t>IS RATED KVA</t>
  </si>
  <si>
    <t>AMP</t>
  </si>
  <si>
    <t xml:space="preserve">THE P.F. OF </t>
  </si>
  <si>
    <t>KW MOTOR</t>
  </si>
  <si>
    <t>(i.e. COS F)</t>
  </si>
  <si>
    <t>HENCE, SIN F</t>
  </si>
  <si>
    <t>SO, THE MOTOR KVA RATING</t>
  </si>
  <si>
    <t xml:space="preserve">CONSIDER OVERLOAD CAPACITY FOR 2 HOUR WHICH IS MUCH HIGHER THAN THE STARTING TIME OF HIGHEST RATED </t>
  </si>
  <si>
    <t xml:space="preserve"> MOTOR (APPROX. 10-12 SEC. MAX)</t>
  </si>
  <si>
    <t>………….[2]</t>
  </si>
  <si>
    <t>THEREFORE</t>
  </si>
  <si>
    <t>HOUR</t>
  </si>
  <si>
    <t>SUBTRACTING [2] FROM [1]</t>
  </si>
  <si>
    <t>………….[3]</t>
  </si>
  <si>
    <t>CONSIDER THE WEIGHTED AVERAGE ANNUAL AMBIENT TEMPERATURE OF COOLING MEDIUM AS 35 °C</t>
  </si>
  <si>
    <t>STARTING METHOD OF THE MOTOR [I st.]</t>
  </si>
  <si>
    <t>DOL</t>
  </si>
  <si>
    <t>°C</t>
  </si>
  <si>
    <t>SO THE STARTING CURRENT OF MOTOR</t>
  </si>
  <si>
    <t>STARTING P.F. OF MOTOR CONSIDERED AS</t>
  </si>
  <si>
    <t>FROM THE REFERENCE OF TABLE NO. 6 OF IS-6600 FOR PERMISSIBLE VALUE OF K2 AT θa = 32 °C IS TAKEN AS:</t>
  </si>
  <si>
    <t>STARTING CURRENT AT 0.2 P.F.</t>
  </si>
  <si>
    <t xml:space="preserve">    (I st.  X  COS F)  +  j  (I st.  X  SIN F)</t>
  </si>
  <si>
    <t>K2  X  Sr</t>
  </si>
  <si>
    <t>STARTING KVA AT 0.2 P.F.</t>
  </si>
  <si>
    <t>………….[4]</t>
  </si>
  <si>
    <t xml:space="preserve">THE TRANSFORMER IS CAPABLE FOR THE OVERLOAD CAPACITY OF </t>
  </si>
  <si>
    <r>
      <t>%</t>
    </r>
    <r>
      <rPr>
        <sz val="8"/>
        <rFont val="Arial"/>
        <family val="2"/>
      </rPr>
      <t xml:space="preserve">  </t>
    </r>
  </si>
  <si>
    <t xml:space="preserve">          </t>
  </si>
  <si>
    <t xml:space="preserve">FROM ABOVE IT IS CONCLUDED THAT SINCE S2 IS GREATER THAN KVA DEMAND DURING STARTING OF HIGHEST RATED  HENCE MOTOR, </t>
  </si>
  <si>
    <t>ADDING [3] AND [4]</t>
  </si>
  <si>
    <t>………….[5]</t>
  </si>
  <si>
    <t>SELECTED KVA RATING OF THE TRANSFORMER (2000 KVA) IS CORRECT.</t>
  </si>
  <si>
    <t>………….[6]</t>
  </si>
  <si>
    <t>NOTES :</t>
  </si>
  <si>
    <t xml:space="preserve">THE TRANSFORMER RATING CONSIDERED AS </t>
  </si>
  <si>
    <t>NOW, AS PER THE FORMULA</t>
  </si>
  <si>
    <t>KVA RATING OF TRANSFORMER</t>
  </si>
  <si>
    <t>1.732  X  VOLTAGE  X  CURRENT</t>
  </si>
  <si>
    <t>X</t>
  </si>
  <si>
    <t>CURRENT</t>
  </si>
  <si>
    <t>(TRAFO. RATING WITH ONAN COOLING)</t>
  </si>
  <si>
    <t>DISTRIBUTION TRANSFORMER SIZING CALCULATION</t>
  </si>
  <si>
    <t>Refer Note 1</t>
  </si>
  <si>
    <t xml:space="preserve">    IT IS ASSUMED THE MOTOR INITIALLY STARTS AT 60KW THEN TRANSFERRED TO 90KW WITH CLOSE/OPEN TRANSITION</t>
  </si>
  <si>
    <t>NOTE NO. 1 (FOR DOL Ist=6*Ifl)</t>
  </si>
  <si>
    <t>1] THE STARTING CURRENT IS  CONSIDERED AS 6 TIMES THE MOTOR FULL LOAD CURRENT,</t>
  </si>
  <si>
    <t>Sl. No.</t>
  </si>
  <si>
    <t xml:space="preserve">THE INCOMER RATING AS PER DESIGN  </t>
  </si>
  <si>
    <t>2) SELECTED TRANSFORMER SHALL BE 1500kVA ONAN TO SUIT THE EXISTING SYSTEM.</t>
  </si>
  <si>
    <r>
      <t>CONSIDERING THE DERATING &amp; LIFE TIME OF BREAKER, THE INCOMER RATING OF 32</t>
    </r>
    <r>
      <rPr>
        <b/>
        <sz val="8"/>
        <rFont val="Arial"/>
        <family val="2"/>
      </rPr>
      <t xml:space="preserve">00 AMP </t>
    </r>
    <r>
      <rPr>
        <sz val="8"/>
        <rFont val="Arial"/>
        <family val="2"/>
      </rPr>
      <t>IS RECOMMENDED</t>
    </r>
  </si>
  <si>
    <t>TOTAL MOTOR LOAD IN KVA AT 0.85 P.F. LAG</t>
  </si>
  <si>
    <t xml:space="preserve">PROJECT TITLE : </t>
  </si>
  <si>
    <t>CONTRACT No. :</t>
  </si>
  <si>
    <t>DOCUMENT No. :</t>
  </si>
  <si>
    <t xml:space="preserve">
 </t>
  </si>
  <si>
    <t>Rev.00</t>
  </si>
  <si>
    <t>DOCUMENT TITLE :</t>
  </si>
  <si>
    <r>
      <rPr>
        <b/>
        <sz val="11"/>
        <color indexed="12"/>
        <rFont val="Arial"/>
        <family val="2"/>
      </rPr>
      <t>DATE :</t>
    </r>
    <r>
      <rPr>
        <b/>
        <sz val="11"/>
        <rFont val="Arial"/>
        <family val="2"/>
      </rPr>
      <t xml:space="preserve"> </t>
    </r>
  </si>
  <si>
    <t>19.09.2022</t>
  </si>
  <si>
    <t xml:space="preserve">Annexure-A 	Project Load List-SS-01 </t>
  </si>
  <si>
    <t>EQUIPMENT DETAILS</t>
  </si>
  <si>
    <t>ABSORBED 
LOAD</t>
  </si>
  <si>
    <t>EQUIPMENT 
RATING</t>
  </si>
  <si>
    <t>LOAD 
FACTOR
C = A / B</t>
  </si>
  <si>
    <t>EFFICIENCY 
@ LOAD 
FACTOR - C</t>
  </si>
  <si>
    <t>COSθ (P.F.) 
@ LOAD FACTOR - C</t>
  </si>
  <si>
    <t>CONSUMED LOAD</t>
  </si>
  <si>
    <t>FED FROM</t>
  </si>
  <si>
    <t>EQUIPMENT DESCRIPTION</t>
  </si>
  <si>
    <t>EQUIPMENT TAG NO</t>
  </si>
  <si>
    <t>DUTY</t>
  </si>
  <si>
    <t>kW = A/D</t>
  </si>
  <si>
    <t>kVAR = kW x TANθ</t>
  </si>
  <si>
    <t>VOLTAGE</t>
  </si>
  <si>
    <t>CONTINUOUS</t>
  </si>
  <si>
    <t>INTERMITTENT</t>
  </si>
  <si>
    <t>STAND-BY</t>
  </si>
  <si>
    <t>A</t>
  </si>
  <si>
    <t>B</t>
  </si>
  <si>
    <t>D</t>
  </si>
  <si>
    <t>E</t>
  </si>
  <si>
    <t>F</t>
  </si>
  <si>
    <t>G</t>
  </si>
  <si>
    <t>kV</t>
  </si>
  <si>
    <t>C / I / S</t>
  </si>
  <si>
    <t>kW</t>
  </si>
  <si>
    <t>Decimals</t>
  </si>
  <si>
    <t>%</t>
  </si>
  <si>
    <t>kVAR</t>
  </si>
  <si>
    <t>OIL DESALTING FEED PUMP A (TRAIN1)</t>
  </si>
  <si>
    <t>112101PA001A</t>
  </si>
  <si>
    <t>OIL DESALTING FEED PUMP B (TRAIN1)</t>
  </si>
  <si>
    <t>112101PA001B</t>
  </si>
  <si>
    <t>S</t>
  </si>
  <si>
    <t>OIL DESALTING FEED PUMP A (TRAIN2)</t>
  </si>
  <si>
    <t>112102PA001A</t>
  </si>
  <si>
    <t>OIL DESALTING FEED PUMP B (TRAIN2)</t>
  </si>
  <si>
    <t>112102PA001B</t>
  </si>
  <si>
    <t>RECYCLE WATER PUMP A (TRAIN1)</t>
  </si>
  <si>
    <t>112101PA002A</t>
  </si>
  <si>
    <t>RECYCLE WATER PUMP B (TRAIN1)</t>
  </si>
  <si>
    <t>112101PA002B</t>
  </si>
  <si>
    <t>RECYCLE WATER PUMP A (TRAIN2)</t>
  </si>
  <si>
    <t>112102PA002A</t>
  </si>
  <si>
    <t>RECYCLE WATER PUMP B (TRAIN2)</t>
  </si>
  <si>
    <t>112102PA002B</t>
  </si>
  <si>
    <t>POWER TRANSFORMER
 (DEHYDRATOR) (TRAIN1)</t>
  </si>
  <si>
    <t>112101ET001</t>
  </si>
  <si>
    <t>POWER TRANSFORMER
 (DESALTER) (TRAIN 1)</t>
  </si>
  <si>
    <t>112101ET002</t>
  </si>
  <si>
    <t>POWER TRANSFORMER
 (DEHYDRATOR) (TRAIN2)</t>
  </si>
  <si>
    <t>112102ET001</t>
  </si>
  <si>
    <t>POWER TRANSFORMER
 (DESALTER) (TRAIN 2)</t>
  </si>
  <si>
    <t>112102ET002</t>
  </si>
  <si>
    <t>WASH WATER PUMPS</t>
  </si>
  <si>
    <t>105200PA002C</t>
  </si>
  <si>
    <t>105200PA002D</t>
  </si>
  <si>
    <t>COMPRESSOR  A</t>
  </si>
  <si>
    <t>104600KCOC1A</t>
  </si>
  <si>
    <t>POTABLE WATER PUMP</t>
  </si>
  <si>
    <t>105300PA001A</t>
  </si>
  <si>
    <t>105300PA001B</t>
  </si>
  <si>
    <t>Peak Load (or) Maximum Demand (A) = (100% . E + 30% . F + 00% . G) =</t>
  </si>
  <si>
    <t>TOTAL</t>
  </si>
  <si>
    <t>Power Factor for 
Peak Load:</t>
  </si>
  <si>
    <t xml:space="preserve"> kW;</t>
  </si>
  <si>
    <t xml:space="preserve"> kVAR;</t>
  </si>
  <si>
    <t xml:space="preserve"> kVA;</t>
  </si>
  <si>
    <t>Total Load  =</t>
  </si>
  <si>
    <t xml:space="preserve">Peak Load (or) Maximum Demand (A) </t>
  </si>
  <si>
    <t>NOTES:</t>
  </si>
  <si>
    <t>ABBREVIATIONS:</t>
  </si>
  <si>
    <t>1. INDICATED LOADS ARE CONSIDERED FOR BACK UP SUPPLY BASED ON FIELD DATA.</t>
  </si>
  <si>
    <t>C - Continuos load</t>
  </si>
  <si>
    <t>2. EFFICIENCY AND POWER FACTOR OF ALL EQUIPMENT'S ARE BASED ON REPUTED CATALOUGE</t>
  </si>
  <si>
    <t>S- Standby load</t>
  </si>
  <si>
    <t>I-Intermitent Loads</t>
  </si>
  <si>
    <t>TOTAL LOAD IN KVA AT 0.85 P.F. LAG</t>
  </si>
  <si>
    <t>FULL LOAD CURRENT OF 160 KW MOTOR</t>
  </si>
  <si>
    <t xml:space="preserve">  1.732 X 0.400  (I st.  X  COS F)  +  j  (I st.  X  SIN F)</t>
  </si>
  <si>
    <t>Short time overloading check</t>
  </si>
  <si>
    <t>Starting requirement of Largest Motor</t>
  </si>
  <si>
    <t xml:space="preserve">Here Largest motor is high capacity LP Flare motor </t>
  </si>
  <si>
    <t>Voltage</t>
  </si>
  <si>
    <t>V</t>
  </si>
  <si>
    <t>Running power factor of the motor</t>
  </si>
  <si>
    <r>
      <t xml:space="preserve">Cos  Φ </t>
    </r>
    <r>
      <rPr>
        <b/>
        <vertAlign val="subscript"/>
        <sz val="12"/>
        <color indexed="8"/>
        <rFont val="Arial"/>
        <family val="2"/>
      </rPr>
      <t>r</t>
    </r>
    <r>
      <rPr>
        <b/>
        <sz val="12"/>
        <color indexed="8"/>
        <rFont val="Arial"/>
        <family val="2"/>
      </rPr>
      <t xml:space="preserve"> </t>
    </r>
    <r>
      <rPr>
        <b/>
        <vertAlign val="subscript"/>
        <sz val="12"/>
        <color indexed="8"/>
        <rFont val="Arial"/>
        <family val="2"/>
      </rPr>
      <t xml:space="preserve"> </t>
    </r>
  </si>
  <si>
    <t>Starting power factor of the motor</t>
  </si>
  <si>
    <r>
      <t>Cos  Φ</t>
    </r>
    <r>
      <rPr>
        <b/>
        <vertAlign val="subscript"/>
        <sz val="12"/>
        <color indexed="8"/>
        <rFont val="Arial"/>
        <family val="2"/>
      </rPr>
      <t xml:space="preserve">s </t>
    </r>
  </si>
  <si>
    <t>Efficiency of the motor</t>
  </si>
  <si>
    <t xml:space="preserve">Largest motor starting current </t>
  </si>
  <si>
    <t>Full load current of motor</t>
  </si>
  <si>
    <r>
      <t>I</t>
    </r>
    <r>
      <rPr>
        <b/>
        <vertAlign val="subscript"/>
        <sz val="12"/>
        <rFont val="Arial"/>
        <family val="2"/>
      </rPr>
      <t>r</t>
    </r>
  </si>
  <si>
    <t>(Motor rating in kW) / (1.732*Vs * η * cos Φ)</t>
  </si>
  <si>
    <t>Motor power during at full load</t>
  </si>
  <si>
    <t>kVA</t>
  </si>
  <si>
    <t>Starting current of largest motor</t>
  </si>
  <si>
    <r>
      <t>I</t>
    </r>
    <r>
      <rPr>
        <b/>
        <vertAlign val="subscript"/>
        <sz val="12"/>
        <rFont val="Arial"/>
        <family val="2"/>
      </rPr>
      <t>S</t>
    </r>
  </si>
  <si>
    <t>Starting kW of  largest motor</t>
  </si>
  <si>
    <r>
      <t>M</t>
    </r>
    <r>
      <rPr>
        <b/>
        <vertAlign val="subscript"/>
        <sz val="12"/>
        <rFont val="Arial"/>
        <family val="2"/>
      </rPr>
      <t xml:space="preserve"> (SKW)</t>
    </r>
    <r>
      <rPr>
        <b/>
        <sz val="12"/>
        <rFont val="Arial"/>
        <family val="2"/>
      </rPr>
      <t xml:space="preserve"> </t>
    </r>
  </si>
  <si>
    <r>
      <t>1.732*V</t>
    </r>
    <r>
      <rPr>
        <b/>
        <vertAlign val="subscript"/>
        <sz val="12"/>
        <rFont val="Arial"/>
        <family val="2"/>
      </rPr>
      <t>S</t>
    </r>
    <r>
      <rPr>
        <b/>
        <sz val="12"/>
        <rFont val="Arial"/>
        <family val="2"/>
      </rPr>
      <t xml:space="preserve"> * I</t>
    </r>
    <r>
      <rPr>
        <b/>
        <vertAlign val="subscript"/>
        <sz val="12"/>
        <rFont val="Arial"/>
        <family val="2"/>
      </rPr>
      <t xml:space="preserve">S </t>
    </r>
    <r>
      <rPr>
        <b/>
        <sz val="12"/>
        <rFont val="Arial"/>
        <family val="2"/>
      </rPr>
      <t>* cos Φ</t>
    </r>
  </si>
  <si>
    <t>Starting kVA of  largest motor</t>
  </si>
  <si>
    <r>
      <t>M</t>
    </r>
    <r>
      <rPr>
        <b/>
        <vertAlign val="subscript"/>
        <sz val="12"/>
        <rFont val="Arial"/>
        <family val="2"/>
      </rPr>
      <t xml:space="preserve"> (SKVA)</t>
    </r>
    <r>
      <rPr>
        <b/>
        <sz val="12"/>
        <rFont val="Arial"/>
        <family val="2"/>
      </rPr>
      <t xml:space="preserve"> </t>
    </r>
  </si>
  <si>
    <r>
      <t>M</t>
    </r>
    <r>
      <rPr>
        <b/>
        <vertAlign val="subscript"/>
        <sz val="12"/>
        <rFont val="Arial"/>
        <family val="2"/>
      </rPr>
      <t xml:space="preserve"> (SKW)</t>
    </r>
    <r>
      <rPr>
        <b/>
        <sz val="12"/>
        <rFont val="Arial"/>
        <family val="2"/>
      </rPr>
      <t xml:space="preserve"> / Cos  Φ</t>
    </r>
    <r>
      <rPr>
        <b/>
        <vertAlign val="subscript"/>
        <sz val="12"/>
        <rFont val="Arial"/>
        <family val="2"/>
      </rPr>
      <t xml:space="preserve">s </t>
    </r>
  </si>
  <si>
    <t xml:space="preserve"> </t>
  </si>
  <si>
    <t>Total KVA Required</t>
  </si>
  <si>
    <t>BASE LOAD + STARTING LOAD OF MOTOR</t>
  </si>
  <si>
    <t xml:space="preserve">Base load on DG </t>
  </si>
  <si>
    <t>Total Load connected ( Except largest motor rating )</t>
  </si>
  <si>
    <t>Total kVA Required during starting of Largest motor</t>
  </si>
  <si>
    <r>
      <t>Base Load+ M</t>
    </r>
    <r>
      <rPr>
        <b/>
        <vertAlign val="subscript"/>
        <sz val="12"/>
        <rFont val="Arial"/>
        <family val="2"/>
      </rPr>
      <t xml:space="preserve"> (SKVA)</t>
    </r>
    <r>
      <rPr>
        <b/>
        <sz val="12"/>
        <rFont val="Arial"/>
        <family val="2"/>
      </rPr>
      <t xml:space="preserve"> </t>
    </r>
  </si>
  <si>
    <t>DG Size selected</t>
  </si>
  <si>
    <t xml:space="preserve">As per IEC–60034(Part-1), Clause no. 9.3.2, AC Generators shall be capable of withstanding a current equal to 1.5 times the Rated current for not less than 30 sec under over loading condition </t>
  </si>
  <si>
    <t xml:space="preserve">Hence D.G, under over loading </t>
  </si>
  <si>
    <t>2040*1.5</t>
  </si>
  <si>
    <t>&gt;</t>
  </si>
  <si>
    <t>HENCE, 2040 kVA GENERATOR IS ADEQUATE</t>
  </si>
  <si>
    <t xml:space="preserve">6 times the full load current </t>
  </si>
  <si>
    <r>
      <t>6 * I</t>
    </r>
    <r>
      <rPr>
        <b/>
        <vertAlign val="subscript"/>
        <sz val="12"/>
        <rFont val="Arial"/>
        <family val="2"/>
      </rPr>
      <t>r</t>
    </r>
  </si>
  <si>
    <t>20 % OF MARGIN</t>
  </si>
  <si>
    <t>S=P+iQ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</si>
</sst>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"/>
  </numFmts>
  <fonts count="34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11"/>
      <color theme="1"/>
      <name val="Arial"/>
      <family val="2"/>
    </font>
    <font>
      <sz val="12"/>
      <name val="Times New Roman"/>
    </font>
    <font>
      <sz val="10"/>
      <name val="Calibri"/>
      <family val="2"/>
      <scheme val="minor"/>
    </font>
    <font>
      <b/>
      <sz val="15"/>
      <name val="Arial"/>
      <family val="2"/>
    </font>
    <font>
      <b/>
      <sz val="15"/>
      <name val="Times New Roman"/>
      <family val="1"/>
    </font>
    <font>
      <b/>
      <sz val="11"/>
      <color rgb="FF0000FF"/>
      <name val="Arial"/>
      <family val="2"/>
    </font>
    <font>
      <b/>
      <sz val="11"/>
      <color indexed="12"/>
      <name val="Arial"/>
      <family val="2"/>
    </font>
    <font>
      <b/>
      <sz val="11"/>
      <color rgb="FFFF0000"/>
      <name val="Arial"/>
      <family val="2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Times New Roman"/>
      <family val="1"/>
    </font>
    <font>
      <b/>
      <u/>
      <sz val="12"/>
      <name val="Arial"/>
      <family val="2"/>
    </font>
    <font>
      <sz val="14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indexed="8"/>
      <name val="Arial"/>
      <family val="2"/>
    </font>
    <font>
      <b/>
      <vertAlign val="subscript"/>
      <sz val="12"/>
      <color indexed="8"/>
      <name val="Arial"/>
      <family val="2"/>
    </font>
    <font>
      <b/>
      <vertAlign val="subscript"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22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11" fillId="0" borderId="0"/>
    <xf numFmtId="0" fontId="22" fillId="0" borderId="0"/>
    <xf numFmtId="0" fontId="24" fillId="0" borderId="0"/>
    <xf numFmtId="0" fontId="22" fillId="0" borderId="0"/>
  </cellStyleXfs>
  <cellXfs count="295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1" applyFont="1"/>
    <xf numFmtId="0" fontId="1" fillId="0" borderId="0" xfId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left" vertical="center"/>
    </xf>
    <xf numFmtId="0" fontId="1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4" xfId="1" applyFont="1" applyBorder="1" applyAlignment="1">
      <alignment horizontal="left" vertical="center"/>
    </xf>
    <xf numFmtId="0" fontId="2" fillId="0" borderId="4" xfId="2" applyFont="1" applyBorder="1" applyAlignment="1">
      <alignment horizontal="left" vertical="center"/>
    </xf>
    <xf numFmtId="0" fontId="2" fillId="0" borderId="7" xfId="1" applyFont="1" applyBorder="1"/>
    <xf numFmtId="0" fontId="2" fillId="0" borderId="8" xfId="1" applyFont="1" applyBorder="1" applyAlignment="1">
      <alignment horizontal="left" vertical="center"/>
    </xf>
    <xf numFmtId="0" fontId="2" fillId="0" borderId="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2" fillId="0" borderId="3" xfId="1" applyFont="1" applyBorder="1" applyAlignment="1">
      <alignment horizontal="left" vertical="center"/>
    </xf>
    <xf numFmtId="4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right" vertical="center"/>
    </xf>
    <xf numFmtId="2" fontId="1" fillId="0" borderId="0" xfId="1" applyNumberFormat="1" applyFont="1" applyAlignment="1">
      <alignment horizontal="center" vertical="center"/>
    </xf>
    <xf numFmtId="0" fontId="1" fillId="0" borderId="0" xfId="1" applyFont="1" applyAlignment="1">
      <alignment vertical="center"/>
    </xf>
    <xf numFmtId="0" fontId="2" fillId="0" borderId="0" xfId="1" applyFont="1" applyAlignment="1">
      <alignment horizontal="center"/>
    </xf>
    <xf numFmtId="0" fontId="2" fillId="0" borderId="0" xfId="2" applyFont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4" fontId="2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 applyAlignment="1">
      <alignment horizontal="left" vertical="center"/>
    </xf>
    <xf numFmtId="2" fontId="2" fillId="0" borderId="1" xfId="1" applyNumberFormat="1" applyFont="1" applyBorder="1" applyAlignment="1">
      <alignment horizontal="center" vertical="center"/>
    </xf>
    <xf numFmtId="0" fontId="2" fillId="0" borderId="1" xfId="1" applyFont="1" applyBorder="1"/>
    <xf numFmtId="164" fontId="2" fillId="0" borderId="1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left" vertical="center"/>
    </xf>
    <xf numFmtId="0" fontId="9" fillId="0" borderId="1" xfId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/>
    <xf numFmtId="1" fontId="1" fillId="0" borderId="0" xfId="1" applyNumberFormat="1" applyFont="1" applyAlignment="1">
      <alignment horizontal="center" vertical="center"/>
    </xf>
    <xf numFmtId="0" fontId="13" fillId="0" borderId="11" xfId="4" applyFont="1" applyBorder="1" applyAlignment="1">
      <alignment vertical="center" wrapText="1"/>
    </xf>
    <xf numFmtId="0" fontId="13" fillId="0" borderId="17" xfId="4" applyFont="1" applyBorder="1" applyAlignment="1">
      <alignment vertical="center"/>
    </xf>
    <xf numFmtId="0" fontId="13" fillId="0" borderId="11" xfId="4" applyFont="1" applyBorder="1" applyAlignment="1">
      <alignment vertical="center"/>
    </xf>
    <xf numFmtId="0" fontId="14" fillId="0" borderId="17" xfId="4" applyFont="1" applyBorder="1"/>
    <xf numFmtId="0" fontId="11" fillId="0" borderId="17" xfId="4" applyBorder="1"/>
    <xf numFmtId="0" fontId="11" fillId="0" borderId="18" xfId="4" applyBorder="1"/>
    <xf numFmtId="0" fontId="12" fillId="0" borderId="0" xfId="4" applyFont="1" applyAlignment="1">
      <alignment vertical="center"/>
    </xf>
    <xf numFmtId="0" fontId="15" fillId="0" borderId="11" xfId="4" applyFont="1" applyBorder="1" applyAlignment="1">
      <alignment vertical="center"/>
    </xf>
    <xf numFmtId="0" fontId="15" fillId="0" borderId="17" xfId="4" applyFont="1" applyBorder="1" applyAlignment="1">
      <alignment vertical="center"/>
    </xf>
    <xf numFmtId="0" fontId="7" fillId="0" borderId="17" xfId="4" applyFont="1" applyBorder="1" applyAlignment="1">
      <alignment vertical="center"/>
    </xf>
    <xf numFmtId="0" fontId="18" fillId="0" borderId="0" xfId="4" applyFont="1" applyAlignment="1">
      <alignment vertical="center"/>
    </xf>
    <xf numFmtId="0" fontId="7" fillId="0" borderId="14" xfId="4" applyFont="1" applyBorder="1" applyAlignment="1">
      <alignment horizontal="center" vertical="center"/>
    </xf>
    <xf numFmtId="0" fontId="7" fillId="0" borderId="14" xfId="4" applyFont="1" applyBorder="1" applyAlignment="1">
      <alignment vertical="center"/>
    </xf>
    <xf numFmtId="0" fontId="7" fillId="0" borderId="17" xfId="4" applyFont="1" applyBorder="1" applyAlignment="1">
      <alignment horizontal="center" vertical="center" wrapText="1"/>
    </xf>
    <xf numFmtId="0" fontId="7" fillId="0" borderId="18" xfId="4" applyFont="1" applyBorder="1" applyAlignment="1">
      <alignment horizontal="center" vertical="center" wrapText="1"/>
    </xf>
    <xf numFmtId="0" fontId="7" fillId="0" borderId="16" xfId="4" applyFont="1" applyBorder="1" applyAlignment="1">
      <alignment vertical="center"/>
    </xf>
    <xf numFmtId="0" fontId="19" fillId="0" borderId="0" xfId="4" applyFont="1" applyAlignment="1">
      <alignment horizontal="left" vertical="center"/>
    </xf>
    <xf numFmtId="0" fontId="7" fillId="0" borderId="16" xfId="4" applyFont="1" applyBorder="1" applyAlignment="1">
      <alignment horizontal="center" vertical="center"/>
    </xf>
    <xf numFmtId="0" fontId="20" fillId="0" borderId="10" xfId="4" applyFont="1" applyBorder="1" applyAlignment="1">
      <alignment horizontal="center" vertical="center"/>
    </xf>
    <xf numFmtId="0" fontId="7" fillId="4" borderId="1" xfId="4" applyFont="1" applyFill="1" applyBorder="1" applyAlignment="1">
      <alignment horizontal="center" vertical="center"/>
    </xf>
    <xf numFmtId="0" fontId="7" fillId="0" borderId="10" xfId="4" applyFont="1" applyBorder="1" applyAlignment="1">
      <alignment vertical="center"/>
    </xf>
    <xf numFmtId="0" fontId="7" fillId="4" borderId="11" xfId="4" applyFont="1" applyFill="1" applyBorder="1" applyAlignment="1">
      <alignment horizontal="center" vertical="center" wrapText="1"/>
    </xf>
    <xf numFmtId="0" fontId="7" fillId="0" borderId="21" xfId="4" applyFont="1" applyBorder="1" applyAlignment="1">
      <alignment horizontal="center" vertical="center"/>
    </xf>
    <xf numFmtId="0" fontId="20" fillId="3" borderId="1" xfId="4" applyFont="1" applyFill="1" applyBorder="1" applyAlignment="1">
      <alignment horizontal="center" vertical="center"/>
    </xf>
    <xf numFmtId="0" fontId="20" fillId="0" borderId="1" xfId="4" applyFont="1" applyBorder="1" applyAlignment="1">
      <alignment horizontal="center" vertical="center" wrapText="1"/>
    </xf>
    <xf numFmtId="0" fontId="7" fillId="0" borderId="21" xfId="4" applyFont="1" applyBorder="1" applyAlignment="1">
      <alignment vertical="center"/>
    </xf>
    <xf numFmtId="0" fontId="21" fillId="0" borderId="2" xfId="4" applyFont="1" applyBorder="1" applyAlignment="1">
      <alignment horizontal="center" vertical="center"/>
    </xf>
    <xf numFmtId="0" fontId="21" fillId="0" borderId="18" xfId="4" applyFont="1" applyBorder="1" applyAlignment="1">
      <alignment horizontal="center" vertical="center" wrapText="1"/>
    </xf>
    <xf numFmtId="0" fontId="21" fillId="0" borderId="1" xfId="4" applyFont="1" applyBorder="1" applyAlignment="1">
      <alignment horizontal="center" vertical="center" wrapText="1"/>
    </xf>
    <xf numFmtId="2" fontId="21" fillId="0" borderId="1" xfId="4" applyNumberFormat="1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 wrapText="1"/>
    </xf>
    <xf numFmtId="0" fontId="19" fillId="0" borderId="2" xfId="4" applyFont="1" applyBorder="1" applyAlignment="1">
      <alignment horizontal="left" vertical="center"/>
    </xf>
    <xf numFmtId="0" fontId="23" fillId="0" borderId="1" xfId="4" applyFont="1" applyBorder="1" applyAlignment="1">
      <alignment horizontal="center" vertical="center"/>
    </xf>
    <xf numFmtId="0" fontId="19" fillId="0" borderId="22" xfId="4" applyFont="1" applyBorder="1" applyAlignment="1">
      <alignment horizontal="left" vertical="center"/>
    </xf>
    <xf numFmtId="0" fontId="19" fillId="0" borderId="10" xfId="4" applyFont="1" applyBorder="1" applyAlignment="1">
      <alignment horizontal="left" vertical="center"/>
    </xf>
    <xf numFmtId="0" fontId="21" fillId="0" borderId="2" xfId="5" applyFont="1" applyBorder="1" applyAlignment="1">
      <alignment horizontal="center" vertical="center"/>
    </xf>
    <xf numFmtId="0" fontId="21" fillId="0" borderId="18" xfId="5" applyFont="1" applyBorder="1" applyAlignment="1">
      <alignment horizontal="center" vertical="center" wrapText="1"/>
    </xf>
    <xf numFmtId="0" fontId="21" fillId="0" borderId="1" xfId="5" applyFont="1" applyBorder="1" applyAlignment="1">
      <alignment horizontal="center" vertical="center" wrapText="1"/>
    </xf>
    <xf numFmtId="2" fontId="21" fillId="0" borderId="1" xfId="5" applyNumberFormat="1" applyFont="1" applyBorder="1" applyAlignment="1">
      <alignment horizontal="center" vertical="center" wrapText="1"/>
    </xf>
    <xf numFmtId="164" fontId="21" fillId="0" borderId="1" xfId="5" applyNumberFormat="1" applyFont="1" applyBorder="1" applyAlignment="1">
      <alignment horizontal="center" vertical="center" wrapText="1"/>
    </xf>
    <xf numFmtId="2" fontId="21" fillId="0" borderId="1" xfId="5" applyNumberFormat="1" applyFont="1" applyBorder="1" applyAlignment="1">
      <alignment horizontal="center" vertical="center"/>
    </xf>
    <xf numFmtId="0" fontId="6" fillId="0" borderId="12" xfId="4" applyFont="1" applyBorder="1"/>
    <xf numFmtId="0" fontId="25" fillId="0" borderId="13" xfId="6" applyFont="1" applyBorder="1"/>
    <xf numFmtId="0" fontId="26" fillId="0" borderId="13" xfId="4" applyFont="1" applyBorder="1" applyAlignment="1">
      <alignment vertical="center"/>
    </xf>
    <xf numFmtId="0" fontId="26" fillId="0" borderId="13" xfId="4" applyFont="1" applyBorder="1" applyAlignment="1">
      <alignment horizontal="center" vertical="center"/>
    </xf>
    <xf numFmtId="0" fontId="6" fillId="0" borderId="13" xfId="4" applyFont="1" applyBorder="1"/>
    <xf numFmtId="0" fontId="25" fillId="0" borderId="14" xfId="6" applyFont="1" applyBorder="1"/>
    <xf numFmtId="0" fontId="26" fillId="0" borderId="0" xfId="4" applyFont="1" applyAlignment="1">
      <alignment vertical="center"/>
    </xf>
    <xf numFmtId="0" fontId="26" fillId="0" borderId="15" xfId="4" applyFont="1" applyBorder="1" applyAlignment="1">
      <alignment vertical="center"/>
    </xf>
    <xf numFmtId="164" fontId="6" fillId="0" borderId="20" xfId="4" applyNumberFormat="1" applyFont="1" applyBorder="1" applyAlignment="1">
      <alignment horizontal="center"/>
    </xf>
    <xf numFmtId="0" fontId="6" fillId="0" borderId="0" xfId="4" applyFont="1"/>
    <xf numFmtId="0" fontId="6" fillId="0" borderId="20" xfId="4" applyFont="1" applyBorder="1" applyAlignment="1">
      <alignment horizontal="center"/>
    </xf>
    <xf numFmtId="0" fontId="26" fillId="0" borderId="0" xfId="4" applyFont="1" applyAlignment="1">
      <alignment horizontal="center" vertical="center"/>
    </xf>
    <xf numFmtId="0" fontId="6" fillId="0" borderId="20" xfId="4" applyFont="1" applyBorder="1"/>
    <xf numFmtId="0" fontId="25" fillId="0" borderId="0" xfId="6" applyFont="1"/>
    <xf numFmtId="0" fontId="25" fillId="0" borderId="16" xfId="6" applyFont="1" applyBorder="1"/>
    <xf numFmtId="2" fontId="26" fillId="0" borderId="0" xfId="4" applyNumberFormat="1" applyFont="1" applyAlignment="1">
      <alignment vertical="center"/>
    </xf>
    <xf numFmtId="0" fontId="25" fillId="0" borderId="15" xfId="6" applyFont="1" applyBorder="1"/>
    <xf numFmtId="0" fontId="6" fillId="0" borderId="15" xfId="4" applyFont="1" applyBorder="1"/>
    <xf numFmtId="0" fontId="22" fillId="0" borderId="0" xfId="4" applyFont="1" applyAlignment="1">
      <alignment vertical="center"/>
    </xf>
    <xf numFmtId="0" fontId="6" fillId="0" borderId="0" xfId="4" applyFont="1" applyAlignment="1">
      <alignment horizontal="center"/>
    </xf>
    <xf numFmtId="0" fontId="22" fillId="0" borderId="0" xfId="4" applyFont="1" applyAlignment="1">
      <alignment horizontal="center" vertical="center"/>
    </xf>
    <xf numFmtId="2" fontId="6" fillId="0" borderId="1" xfId="4" applyNumberFormat="1" applyFont="1" applyBorder="1" applyAlignment="1">
      <alignment horizontal="center" vertical="center" wrapText="1"/>
    </xf>
    <xf numFmtId="0" fontId="22" fillId="0" borderId="15" xfId="4" applyFont="1" applyBorder="1" applyAlignment="1">
      <alignment vertical="center"/>
    </xf>
    <xf numFmtId="164" fontId="6" fillId="0" borderId="0" xfId="4" applyNumberFormat="1" applyFont="1" applyAlignment="1">
      <alignment horizontal="center"/>
    </xf>
    <xf numFmtId="0" fontId="27" fillId="0" borderId="0" xfId="4" applyFont="1"/>
    <xf numFmtId="164" fontId="6" fillId="0" borderId="0" xfId="4" applyNumberFormat="1" applyFont="1"/>
    <xf numFmtId="0" fontId="22" fillId="0" borderId="16" xfId="4" applyFont="1" applyBorder="1" applyAlignment="1">
      <alignment vertical="center"/>
    </xf>
    <xf numFmtId="0" fontId="6" fillId="0" borderId="15" xfId="5" applyFont="1" applyBorder="1" applyAlignment="1">
      <alignment vertical="center"/>
    </xf>
    <xf numFmtId="0" fontId="26" fillId="0" borderId="0" xfId="5" applyFont="1" applyAlignment="1">
      <alignment vertical="center"/>
    </xf>
    <xf numFmtId="164" fontId="6" fillId="0" borderId="0" xfId="5" applyNumberFormat="1" applyFont="1" applyAlignment="1">
      <alignment horizontal="center"/>
    </xf>
    <xf numFmtId="0" fontId="6" fillId="0" borderId="0" xfId="5" applyFont="1"/>
    <xf numFmtId="0" fontId="21" fillId="0" borderId="15" xfId="5" applyFont="1" applyBorder="1" applyAlignment="1">
      <alignment vertical="center"/>
    </xf>
    <xf numFmtId="0" fontId="6" fillId="0" borderId="15" xfId="4" applyFont="1" applyBorder="1" applyAlignment="1">
      <alignment vertical="center"/>
    </xf>
    <xf numFmtId="0" fontId="28" fillId="0" borderId="0" xfId="4" applyFont="1" applyAlignment="1">
      <alignment horizontal="center" vertical="center"/>
    </xf>
    <xf numFmtId="0" fontId="21" fillId="0" borderId="15" xfId="4" applyFont="1" applyBorder="1" applyAlignment="1">
      <alignment horizontal="left" vertical="center"/>
    </xf>
    <xf numFmtId="0" fontId="26" fillId="0" borderId="16" xfId="4" applyFont="1" applyBorder="1" applyAlignment="1">
      <alignment vertical="center"/>
    </xf>
    <xf numFmtId="0" fontId="21" fillId="0" borderId="15" xfId="4" applyFont="1" applyBorder="1" applyAlignment="1">
      <alignment vertical="center"/>
    </xf>
    <xf numFmtId="0" fontId="28" fillId="0" borderId="0" xfId="4" applyFont="1" applyAlignment="1">
      <alignment horizontal="left" vertical="center"/>
    </xf>
    <xf numFmtId="0" fontId="22" fillId="0" borderId="19" xfId="4" applyFont="1" applyBorder="1" applyAlignment="1">
      <alignment vertical="center"/>
    </xf>
    <xf numFmtId="0" fontId="22" fillId="0" borderId="20" xfId="4" applyFont="1" applyBorder="1" applyAlignment="1">
      <alignment vertical="center"/>
    </xf>
    <xf numFmtId="0" fontId="26" fillId="0" borderId="20" xfId="4" applyFont="1" applyBorder="1" applyAlignment="1">
      <alignment vertical="center"/>
    </xf>
    <xf numFmtId="0" fontId="26" fillId="0" borderId="20" xfId="4" applyFont="1" applyBorder="1" applyAlignment="1">
      <alignment horizontal="center" vertical="center"/>
    </xf>
    <xf numFmtId="0" fontId="22" fillId="0" borderId="20" xfId="4" applyFont="1" applyBorder="1" applyAlignment="1">
      <alignment horizontal="center" vertical="center"/>
    </xf>
    <xf numFmtId="0" fontId="22" fillId="0" borderId="21" xfId="4" applyFont="1" applyBorder="1" applyAlignment="1">
      <alignment vertical="center"/>
    </xf>
    <xf numFmtId="166" fontId="26" fillId="0" borderId="0" xfId="4" applyNumberFormat="1" applyFont="1" applyAlignment="1">
      <alignment vertical="center"/>
    </xf>
    <xf numFmtId="0" fontId="21" fillId="0" borderId="0" xfId="7" applyFont="1"/>
    <xf numFmtId="0" fontId="21" fillId="0" borderId="37" xfId="7" applyFont="1" applyBorder="1"/>
    <xf numFmtId="0" fontId="21" fillId="0" borderId="23" xfId="7" applyFont="1" applyBorder="1"/>
    <xf numFmtId="0" fontId="21" fillId="0" borderId="24" xfId="7" applyFont="1" applyBorder="1"/>
    <xf numFmtId="0" fontId="6" fillId="0" borderId="0" xfId="7" applyFont="1" applyAlignment="1">
      <alignment vertical="center"/>
    </xf>
    <xf numFmtId="0" fontId="21" fillId="0" borderId="38" xfId="7" applyFont="1" applyBorder="1" applyAlignment="1">
      <alignment vertical="center"/>
    </xf>
    <xf numFmtId="0" fontId="21" fillId="0" borderId="0" xfId="7" applyFont="1" applyAlignment="1">
      <alignment vertical="center"/>
    </xf>
    <xf numFmtId="0" fontId="21" fillId="0" borderId="39" xfId="7" applyFont="1" applyBorder="1"/>
    <xf numFmtId="0" fontId="21" fillId="0" borderId="0" xfId="7" applyFont="1" applyAlignment="1">
      <alignment horizontal="center" vertical="center"/>
    </xf>
    <xf numFmtId="0" fontId="6" fillId="0" borderId="0" xfId="7" applyFont="1" applyAlignment="1">
      <alignment horizontal="center" vertical="center" wrapText="1"/>
    </xf>
    <xf numFmtId="0" fontId="6" fillId="0" borderId="0" xfId="7" applyFont="1" applyAlignment="1">
      <alignment vertical="center" wrapText="1"/>
    </xf>
    <xf numFmtId="0" fontId="31" fillId="0" borderId="0" xfId="7" applyFont="1" applyAlignment="1">
      <alignment horizontal="center" vertical="center"/>
    </xf>
    <xf numFmtId="0" fontId="6" fillId="0" borderId="0" xfId="7" applyFont="1" applyAlignment="1">
      <alignment horizontal="center" vertical="center"/>
    </xf>
    <xf numFmtId="2" fontId="6" fillId="0" borderId="0" xfId="7" applyNumberFormat="1" applyFont="1" applyAlignment="1">
      <alignment horizontal="center" vertical="center" wrapText="1"/>
    </xf>
    <xf numFmtId="0" fontId="21" fillId="0" borderId="0" xfId="7" applyFont="1" applyAlignment="1">
      <alignment horizontal="center" vertical="center" wrapText="1"/>
    </xf>
    <xf numFmtId="165" fontId="6" fillId="0" borderId="0" xfId="7" applyNumberFormat="1" applyFont="1" applyAlignment="1">
      <alignment horizontal="center" vertical="center" wrapText="1"/>
    </xf>
    <xf numFmtId="0" fontId="6" fillId="0" borderId="0" xfId="7" quotePrefix="1" applyFont="1" applyAlignment="1">
      <alignment vertical="center" wrapText="1"/>
    </xf>
    <xf numFmtId="0" fontId="6" fillId="0" borderId="0" xfId="7" applyFont="1"/>
    <xf numFmtId="0" fontId="6" fillId="0" borderId="39" xfId="7" applyFont="1" applyBorder="1"/>
    <xf numFmtId="0" fontId="21" fillId="0" borderId="40" xfId="7" applyFont="1" applyBorder="1"/>
    <xf numFmtId="0" fontId="21" fillId="0" borderId="25" xfId="7" applyFont="1" applyBorder="1"/>
    <xf numFmtId="0" fontId="21" fillId="0" borderId="26" xfId="7" applyFont="1" applyBorder="1"/>
    <xf numFmtId="165" fontId="2" fillId="0" borderId="0" xfId="1" applyNumberFormat="1" applyFont="1"/>
    <xf numFmtId="0" fontId="12" fillId="0" borderId="11" xfId="4" applyFont="1" applyBorder="1" applyAlignment="1">
      <alignment horizontal="center" vertical="center"/>
    </xf>
    <xf numFmtId="0" fontId="12" fillId="0" borderId="17" xfId="4" applyFont="1" applyBorder="1" applyAlignment="1">
      <alignment horizontal="center" vertical="center"/>
    </xf>
    <xf numFmtId="0" fontId="12" fillId="0" borderId="18" xfId="4" applyFont="1" applyBorder="1" applyAlignment="1">
      <alignment horizontal="center" vertical="center"/>
    </xf>
    <xf numFmtId="0" fontId="15" fillId="0" borderId="11" xfId="4" applyFont="1" applyBorder="1" applyAlignment="1">
      <alignment horizontal="right" vertical="center"/>
    </xf>
    <xf numFmtId="0" fontId="15" fillId="0" borderId="17" xfId="4" applyFont="1" applyBorder="1" applyAlignment="1">
      <alignment horizontal="right" vertical="center"/>
    </xf>
    <xf numFmtId="0" fontId="10" fillId="0" borderId="13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0" fontId="10" fillId="0" borderId="20" xfId="4" applyFont="1" applyBorder="1" applyAlignment="1">
      <alignment horizontal="left" vertical="center"/>
    </xf>
    <xf numFmtId="0" fontId="10" fillId="0" borderId="21" xfId="4" applyFont="1" applyBorder="1" applyAlignment="1">
      <alignment horizontal="left" vertical="center"/>
    </xf>
    <xf numFmtId="0" fontId="7" fillId="0" borderId="17" xfId="4" applyFont="1" applyBorder="1" applyAlignment="1">
      <alignment horizontal="left" vertical="center" wrapText="1"/>
    </xf>
    <xf numFmtId="0" fontId="7" fillId="0" borderId="17" xfId="4" applyFont="1" applyBorder="1" applyAlignment="1">
      <alignment horizontal="left" vertical="center"/>
    </xf>
    <xf numFmtId="0" fontId="7" fillId="0" borderId="18" xfId="4" applyFont="1" applyBorder="1" applyAlignment="1">
      <alignment horizontal="left" vertical="center"/>
    </xf>
    <xf numFmtId="0" fontId="10" fillId="3" borderId="2" xfId="4" applyFont="1" applyFill="1" applyBorder="1" applyAlignment="1">
      <alignment horizontal="center" vertical="center"/>
    </xf>
    <xf numFmtId="0" fontId="17" fillId="3" borderId="10" xfId="4" applyFont="1" applyFill="1" applyBorder="1" applyAlignment="1">
      <alignment horizontal="center" vertical="center"/>
    </xf>
    <xf numFmtId="0" fontId="7" fillId="0" borderId="11" xfId="4" applyFont="1" applyBorder="1" applyAlignment="1">
      <alignment horizontal="right" vertical="center"/>
    </xf>
    <xf numFmtId="0" fontId="7" fillId="0" borderId="17" xfId="4" applyFont="1" applyBorder="1" applyAlignment="1">
      <alignment horizontal="right" vertical="center"/>
    </xf>
    <xf numFmtId="0" fontId="10" fillId="0" borderId="17" xfId="4" quotePrefix="1" applyFont="1" applyBorder="1" applyAlignment="1">
      <alignment horizontal="left" vertical="center"/>
    </xf>
    <xf numFmtId="0" fontId="10" fillId="0" borderId="17" xfId="4" applyFont="1" applyBorder="1" applyAlignment="1">
      <alignment horizontal="left" vertical="center"/>
    </xf>
    <xf numFmtId="0" fontId="10" fillId="0" borderId="18" xfId="4" applyFont="1" applyBorder="1" applyAlignment="1">
      <alignment horizontal="left" vertical="center"/>
    </xf>
    <xf numFmtId="0" fontId="5" fillId="0" borderId="11" xfId="4" applyFont="1" applyBorder="1" applyAlignment="1">
      <alignment horizontal="center" vertical="center" wrapText="1"/>
    </xf>
    <xf numFmtId="0" fontId="5" fillId="0" borderId="17" xfId="4" applyFont="1" applyBorder="1" applyAlignment="1">
      <alignment horizontal="center" vertical="center"/>
    </xf>
    <xf numFmtId="0" fontId="5" fillId="0" borderId="18" xfId="4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/>
    </xf>
    <xf numFmtId="0" fontId="6" fillId="0" borderId="22" xfId="4" applyFont="1" applyBorder="1" applyAlignment="1">
      <alignment horizontal="center" vertical="center"/>
    </xf>
    <xf numFmtId="0" fontId="6" fillId="0" borderId="10" xfId="4" applyFont="1" applyBorder="1" applyAlignment="1">
      <alignment horizontal="center" vertical="center"/>
    </xf>
    <xf numFmtId="0" fontId="7" fillId="0" borderId="11" xfId="4" applyFont="1" applyBorder="1" applyAlignment="1">
      <alignment horizontal="center" vertical="center"/>
    </xf>
    <xf numFmtId="0" fontId="7" fillId="0" borderId="17" xfId="4" applyFont="1" applyBorder="1" applyAlignment="1">
      <alignment horizontal="center" vertical="center"/>
    </xf>
    <xf numFmtId="0" fontId="7" fillId="0" borderId="12" xfId="4" applyFont="1" applyBorder="1" applyAlignment="1">
      <alignment horizontal="center" vertical="center" wrapText="1"/>
    </xf>
    <xf numFmtId="0" fontId="7" fillId="0" borderId="14" xfId="4" applyFont="1" applyBorder="1" applyAlignment="1">
      <alignment horizontal="center" vertical="center" wrapText="1"/>
    </xf>
    <xf numFmtId="0" fontId="7" fillId="0" borderId="15" xfId="4" applyFont="1" applyBorder="1" applyAlignment="1">
      <alignment horizontal="center" vertical="center" wrapText="1"/>
    </xf>
    <xf numFmtId="0" fontId="7" fillId="0" borderId="16" xfId="4" applyFont="1" applyBorder="1" applyAlignment="1">
      <alignment horizontal="center" vertical="center" wrapText="1"/>
    </xf>
    <xf numFmtId="0" fontId="7" fillId="0" borderId="2" xfId="4" applyFont="1" applyBorder="1" applyAlignment="1">
      <alignment horizontal="center" vertical="center" wrapText="1"/>
    </xf>
    <xf numFmtId="0" fontId="7" fillId="0" borderId="22" xfId="4" applyFont="1" applyBorder="1" applyAlignment="1">
      <alignment horizontal="center" vertical="center" wrapText="1"/>
    </xf>
    <xf numFmtId="0" fontId="7" fillId="0" borderId="12" xfId="4" applyFont="1" applyBorder="1" applyAlignment="1">
      <alignment horizontal="center" vertical="center"/>
    </xf>
    <xf numFmtId="0" fontId="7" fillId="0" borderId="13" xfId="4" applyFont="1" applyBorder="1" applyAlignment="1">
      <alignment horizontal="center" vertical="center"/>
    </xf>
    <xf numFmtId="0" fontId="7" fillId="0" borderId="14" xfId="4" applyFont="1" applyBorder="1" applyAlignment="1">
      <alignment horizontal="center" vertical="center"/>
    </xf>
    <xf numFmtId="0" fontId="7" fillId="0" borderId="2" xfId="4" applyFont="1" applyBorder="1" applyAlignment="1">
      <alignment horizontal="center" vertical="center"/>
    </xf>
    <xf numFmtId="0" fontId="7" fillId="0" borderId="22" xfId="4" applyFont="1" applyBorder="1" applyAlignment="1">
      <alignment horizontal="center" vertical="center"/>
    </xf>
    <xf numFmtId="0" fontId="7" fillId="0" borderId="10" xfId="4" applyFont="1" applyBorder="1" applyAlignment="1">
      <alignment horizontal="center" vertical="center"/>
    </xf>
    <xf numFmtId="0" fontId="20" fillId="0" borderId="11" xfId="4" applyFont="1" applyBorder="1" applyAlignment="1">
      <alignment horizontal="center" vertical="center" wrapText="1"/>
    </xf>
    <xf numFmtId="0" fontId="20" fillId="0" borderId="18" xfId="4" applyFont="1" applyBorder="1" applyAlignment="1">
      <alignment horizontal="center" vertical="center" wrapText="1"/>
    </xf>
    <xf numFmtId="0" fontId="7" fillId="0" borderId="15" xfId="4" applyFont="1" applyBorder="1" applyAlignment="1">
      <alignment horizontal="center" vertical="center"/>
    </xf>
    <xf numFmtId="0" fontId="7" fillId="0" borderId="19" xfId="4" applyFont="1" applyBorder="1" applyAlignment="1">
      <alignment horizontal="center" vertical="center"/>
    </xf>
    <xf numFmtId="0" fontId="7" fillId="0" borderId="16" xfId="4" applyFont="1" applyBorder="1" applyAlignment="1">
      <alignment horizontal="center" vertical="center"/>
    </xf>
    <xf numFmtId="0" fontId="7" fillId="0" borderId="21" xfId="4" applyFont="1" applyBorder="1" applyAlignment="1">
      <alignment horizontal="center" vertical="center"/>
    </xf>
    <xf numFmtId="0" fontId="7" fillId="0" borderId="0" xfId="4" applyFont="1" applyAlignment="1">
      <alignment horizontal="center" vertical="center"/>
    </xf>
    <xf numFmtId="0" fontId="7" fillId="0" borderId="20" xfId="4" applyFont="1" applyBorder="1" applyAlignment="1">
      <alignment horizontal="center" vertical="center"/>
    </xf>
    <xf numFmtId="0" fontId="7" fillId="0" borderId="11" xfId="4" applyFont="1" applyBorder="1" applyAlignment="1">
      <alignment horizontal="center" vertical="center" wrapText="1"/>
    </xf>
    <xf numFmtId="0" fontId="7" fillId="0" borderId="17" xfId="4" applyFont="1" applyBorder="1" applyAlignment="1">
      <alignment horizontal="center" vertical="center" wrapText="1"/>
    </xf>
    <xf numFmtId="0" fontId="7" fillId="0" borderId="18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center" vertical="center" wrapText="1"/>
    </xf>
    <xf numFmtId="0" fontId="7" fillId="0" borderId="13" xfId="4" applyFont="1" applyBorder="1" applyAlignment="1">
      <alignment horizontal="center" vertical="center" wrapText="1"/>
    </xf>
    <xf numFmtId="0" fontId="7" fillId="0" borderId="19" xfId="4" applyFont="1" applyBorder="1" applyAlignment="1">
      <alignment horizontal="center" vertical="center" wrapText="1"/>
    </xf>
    <xf numFmtId="0" fontId="7" fillId="0" borderId="20" xfId="4" applyFont="1" applyBorder="1" applyAlignment="1">
      <alignment horizontal="center" vertical="center" wrapText="1"/>
    </xf>
    <xf numFmtId="164" fontId="21" fillId="0" borderId="11" xfId="5" applyNumberFormat="1" applyFont="1" applyBorder="1" applyAlignment="1">
      <alignment horizontal="center" vertical="center" wrapText="1"/>
    </xf>
    <xf numFmtId="164" fontId="21" fillId="0" borderId="18" xfId="5" applyNumberFormat="1" applyFont="1" applyBorder="1" applyAlignment="1">
      <alignment horizontal="center" vertical="center" wrapText="1"/>
    </xf>
    <xf numFmtId="164" fontId="21" fillId="0" borderId="11" xfId="4" applyNumberFormat="1" applyFont="1" applyBorder="1" applyAlignment="1">
      <alignment horizontal="center" vertical="center" wrapText="1"/>
    </xf>
    <xf numFmtId="164" fontId="21" fillId="0" borderId="18" xfId="4" applyNumberFormat="1" applyFont="1" applyBorder="1" applyAlignment="1">
      <alignment horizontal="center" vertical="center" wrapText="1"/>
    </xf>
    <xf numFmtId="0" fontId="21" fillId="0" borderId="11" xfId="4" applyFont="1" applyBorder="1" applyAlignment="1">
      <alignment horizontal="center" vertical="center"/>
    </xf>
    <xf numFmtId="0" fontId="21" fillId="0" borderId="18" xfId="4" applyFont="1" applyBorder="1" applyAlignment="1">
      <alignment horizontal="center" vertical="center"/>
    </xf>
    <xf numFmtId="0" fontId="21" fillId="0" borderId="11" xfId="4" applyFont="1" applyBorder="1" applyAlignment="1">
      <alignment horizontal="center" vertical="center" wrapText="1"/>
    </xf>
    <xf numFmtId="0" fontId="21" fillId="0" borderId="17" xfId="4" applyFont="1" applyBorder="1" applyAlignment="1">
      <alignment horizontal="center" vertical="center" wrapText="1"/>
    </xf>
    <xf numFmtId="0" fontId="21" fillId="0" borderId="18" xfId="4" applyFont="1" applyBorder="1" applyAlignment="1">
      <alignment horizontal="center" vertical="center" wrapText="1"/>
    </xf>
    <xf numFmtId="0" fontId="18" fillId="0" borderId="11" xfId="4" applyFont="1" applyBorder="1" applyAlignment="1">
      <alignment horizontal="center" vertical="center"/>
    </xf>
    <xf numFmtId="0" fontId="18" fillId="0" borderId="18" xfId="4" applyFont="1" applyBorder="1" applyAlignment="1">
      <alignment horizontal="center" vertical="center"/>
    </xf>
    <xf numFmtId="2" fontId="21" fillId="0" borderId="11" xfId="4" applyNumberFormat="1" applyFont="1" applyBorder="1" applyAlignment="1">
      <alignment horizontal="center" vertical="center" wrapText="1"/>
    </xf>
    <xf numFmtId="2" fontId="21" fillId="0" borderId="18" xfId="4" applyNumberFormat="1" applyFont="1" applyBorder="1" applyAlignment="1">
      <alignment horizontal="center" vertical="center" wrapText="1"/>
    </xf>
    <xf numFmtId="0" fontId="21" fillId="0" borderId="11" xfId="5" applyFont="1" applyBorder="1" applyAlignment="1">
      <alignment horizontal="center" vertical="center" wrapText="1"/>
    </xf>
    <xf numFmtId="0" fontId="21" fillId="0" borderId="18" xfId="5" applyFont="1" applyBorder="1" applyAlignment="1">
      <alignment horizontal="center" vertical="center" wrapText="1"/>
    </xf>
    <xf numFmtId="0" fontId="21" fillId="0" borderId="11" xfId="5" applyFont="1" applyBorder="1" applyAlignment="1">
      <alignment horizontal="center" vertical="center"/>
    </xf>
    <xf numFmtId="0" fontId="21" fillId="0" borderId="17" xfId="5" applyFont="1" applyBorder="1" applyAlignment="1">
      <alignment horizontal="center" vertical="center"/>
    </xf>
    <xf numFmtId="0" fontId="21" fillId="0" borderId="18" xfId="5" applyFont="1" applyBorder="1" applyAlignment="1">
      <alignment horizontal="center" vertical="center"/>
    </xf>
    <xf numFmtId="2" fontId="21" fillId="0" borderId="11" xfId="5" applyNumberFormat="1" applyFont="1" applyBorder="1" applyAlignment="1">
      <alignment horizontal="center" vertical="center" wrapText="1"/>
    </xf>
    <xf numFmtId="2" fontId="21" fillId="0" borderId="18" xfId="5" applyNumberFormat="1" applyFont="1" applyBorder="1" applyAlignment="1">
      <alignment horizontal="center" vertical="center" wrapText="1"/>
    </xf>
    <xf numFmtId="0" fontId="6" fillId="0" borderId="2" xfId="4" applyFont="1" applyBorder="1" applyAlignment="1">
      <alignment horizontal="center" vertical="center" wrapText="1"/>
    </xf>
    <xf numFmtId="0" fontId="6" fillId="0" borderId="22" xfId="4" applyFont="1" applyBorder="1" applyAlignment="1">
      <alignment horizontal="center" vertical="center" wrapText="1"/>
    </xf>
    <xf numFmtId="0" fontId="22" fillId="0" borderId="11" xfId="4" applyFont="1" applyBorder="1" applyAlignment="1">
      <alignment horizontal="center" vertical="center"/>
    </xf>
    <xf numFmtId="0" fontId="22" fillId="0" borderId="17" xfId="4" applyFont="1" applyBorder="1" applyAlignment="1">
      <alignment horizontal="center" vertical="center"/>
    </xf>
    <xf numFmtId="164" fontId="6" fillId="0" borderId="11" xfId="4" applyNumberFormat="1" applyFont="1" applyBorder="1" applyAlignment="1">
      <alignment horizontal="center" vertical="center"/>
    </xf>
    <xf numFmtId="164" fontId="6" fillId="0" borderId="17" xfId="4" applyNumberFormat="1" applyFont="1" applyBorder="1" applyAlignment="1">
      <alignment horizontal="center" vertical="center"/>
    </xf>
    <xf numFmtId="164" fontId="6" fillId="0" borderId="18" xfId="4" applyNumberFormat="1" applyFont="1" applyBorder="1" applyAlignment="1">
      <alignment horizontal="center" vertical="center"/>
    </xf>
    <xf numFmtId="0" fontId="6" fillId="0" borderId="11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6" fillId="0" borderId="18" xfId="4" applyFont="1" applyBorder="1" applyAlignment="1">
      <alignment horizontal="center" vertical="center"/>
    </xf>
    <xf numFmtId="0" fontId="6" fillId="0" borderId="0" xfId="4" applyFont="1" applyAlignment="1">
      <alignment horizontal="center"/>
    </xf>
    <xf numFmtId="0" fontId="6" fillId="0" borderId="1" xfId="4" applyFont="1" applyBorder="1" applyAlignment="1">
      <alignment horizontal="center" vertical="center"/>
    </xf>
    <xf numFmtId="164" fontId="6" fillId="0" borderId="1" xfId="4" applyNumberFormat="1" applyFont="1" applyBorder="1" applyAlignment="1">
      <alignment horizontal="center" vertical="center"/>
    </xf>
    <xf numFmtId="164" fontId="6" fillId="0" borderId="12" xfId="4" applyNumberFormat="1" applyFont="1" applyBorder="1" applyAlignment="1">
      <alignment horizontal="center" vertical="center"/>
    </xf>
    <xf numFmtId="164" fontId="6" fillId="0" borderId="14" xfId="4" applyNumberFormat="1" applyFont="1" applyBorder="1" applyAlignment="1">
      <alignment horizontal="center" vertical="center"/>
    </xf>
    <xf numFmtId="164" fontId="6" fillId="0" borderId="15" xfId="4" applyNumberFormat="1" applyFont="1" applyBorder="1" applyAlignment="1">
      <alignment horizontal="center" vertical="center"/>
    </xf>
    <xf numFmtId="164" fontId="6" fillId="0" borderId="16" xfId="4" applyNumberFormat="1" applyFont="1" applyBorder="1" applyAlignment="1">
      <alignment horizontal="center" vertical="center"/>
    </xf>
    <xf numFmtId="164" fontId="6" fillId="0" borderId="19" xfId="4" applyNumberFormat="1" applyFont="1" applyBorder="1" applyAlignment="1">
      <alignment horizontal="center" vertical="center"/>
    </xf>
    <xf numFmtId="164" fontId="6" fillId="0" borderId="21" xfId="4" applyNumberFormat="1" applyFont="1" applyBorder="1" applyAlignment="1">
      <alignment horizontal="center" vertical="center"/>
    </xf>
    <xf numFmtId="0" fontId="6" fillId="0" borderId="14" xfId="4" applyFont="1" applyBorder="1" applyAlignment="1">
      <alignment horizontal="center" vertical="center"/>
    </xf>
    <xf numFmtId="0" fontId="6" fillId="0" borderId="15" xfId="4" applyFont="1" applyBorder="1" applyAlignment="1">
      <alignment horizontal="center" vertical="center"/>
    </xf>
    <xf numFmtId="0" fontId="6" fillId="0" borderId="16" xfId="4" applyFont="1" applyBorder="1" applyAlignment="1">
      <alignment horizontal="center" vertical="center"/>
    </xf>
    <xf numFmtId="0" fontId="6" fillId="0" borderId="19" xfId="4" applyFont="1" applyBorder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0" fontId="6" fillId="0" borderId="20" xfId="4" applyFont="1" applyBorder="1" applyAlignment="1">
      <alignment horizontal="center"/>
    </xf>
    <xf numFmtId="164" fontId="6" fillId="0" borderId="0" xfId="4" applyNumberFormat="1" applyFont="1" applyAlignment="1">
      <alignment horizontal="center"/>
    </xf>
    <xf numFmtId="0" fontId="2" fillId="0" borderId="30" xfId="1" applyFont="1" applyBorder="1" applyAlignment="1">
      <alignment horizontal="center" vertical="center" wrapText="1"/>
    </xf>
    <xf numFmtId="0" fontId="2" fillId="0" borderId="31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0" fontId="2" fillId="0" borderId="31" xfId="1" applyFont="1" applyBorder="1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1" fontId="1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2" fillId="3" borderId="1" xfId="1" applyFont="1" applyFill="1" applyBorder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  <xf numFmtId="0" fontId="2" fillId="0" borderId="29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2" fontId="2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 applyAlignment="1">
      <alignment horizontal="left" vertical="center"/>
    </xf>
    <xf numFmtId="0" fontId="2" fillId="0" borderId="1" xfId="1" applyFont="1" applyBorder="1" applyAlignment="1">
      <alignment horizontal="left"/>
    </xf>
    <xf numFmtId="0" fontId="3" fillId="0" borderId="1" xfId="1" applyBorder="1" applyAlignment="1">
      <alignment horizontal="center" vertical="center"/>
    </xf>
    <xf numFmtId="0" fontId="3" fillId="0" borderId="23" xfId="1" applyBorder="1" applyAlignment="1">
      <alignment horizontal="center" vertical="center"/>
    </xf>
    <xf numFmtId="0" fontId="3" fillId="0" borderId="24" xfId="1" applyBorder="1" applyAlignment="1">
      <alignment horizontal="center" vertical="center"/>
    </xf>
    <xf numFmtId="0" fontId="3" fillId="0" borderId="25" xfId="1" applyBorder="1" applyAlignment="1">
      <alignment horizontal="center" vertical="center"/>
    </xf>
    <xf numFmtId="0" fontId="3" fillId="0" borderId="26" xfId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25" xfId="1" applyFont="1" applyBorder="1" applyAlignment="1">
      <alignment horizontal="left" vertical="center"/>
    </xf>
    <xf numFmtId="0" fontId="1" fillId="0" borderId="27" xfId="1" applyFont="1" applyBorder="1" applyAlignment="1">
      <alignment horizontal="left" vertical="center"/>
    </xf>
    <xf numFmtId="0" fontId="6" fillId="5" borderId="36" xfId="7" applyFont="1" applyFill="1" applyBorder="1" applyAlignment="1">
      <alignment horizontal="center" vertical="center" wrapText="1"/>
    </xf>
    <xf numFmtId="0" fontId="6" fillId="0" borderId="38" xfId="7" applyFont="1" applyBorder="1" applyAlignment="1">
      <alignment vertical="center"/>
    </xf>
    <xf numFmtId="0" fontId="6" fillId="0" borderId="0" xfId="7" applyFont="1" applyAlignment="1">
      <alignment vertical="center"/>
    </xf>
    <xf numFmtId="0" fontId="6" fillId="0" borderId="39" xfId="7" applyFont="1" applyBorder="1" applyAlignment="1">
      <alignment vertical="center"/>
    </xf>
    <xf numFmtId="0" fontId="6" fillId="0" borderId="38" xfId="7" applyFont="1" applyBorder="1" applyAlignment="1">
      <alignment vertical="center" wrapText="1"/>
    </xf>
    <xf numFmtId="0" fontId="6" fillId="0" borderId="0" xfId="7" applyFont="1" applyAlignment="1">
      <alignment vertical="center" wrapText="1"/>
    </xf>
    <xf numFmtId="0" fontId="6" fillId="0" borderId="39" xfId="7" applyFont="1" applyBorder="1" applyAlignment="1">
      <alignment vertical="center" wrapText="1"/>
    </xf>
    <xf numFmtId="0" fontId="6" fillId="0" borderId="38" xfId="7" applyFont="1" applyBorder="1" applyAlignment="1">
      <alignment horizontal="center" vertical="center"/>
    </xf>
    <xf numFmtId="0" fontId="6" fillId="0" borderId="0" xfId="7" applyFont="1" applyAlignment="1">
      <alignment horizontal="center" vertical="center"/>
    </xf>
    <xf numFmtId="0" fontId="6" fillId="0" borderId="39" xfId="7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2" xfId="2" xr:uid="{00000000-0005-0000-0000-000002000000}"/>
    <cellStyle name="Normal 2 3" xfId="7" xr:uid="{C104B116-03F6-4E9C-9E46-ADAF56DDE71A}"/>
    <cellStyle name="Normal 3" xfId="4" xr:uid="{BA129EEC-AA4F-4665-8DB1-5445338C65D5}"/>
    <cellStyle name="Normal 3 2" xfId="5" xr:uid="{71C5DDEE-4F45-44DD-95E3-8DA707C2ECED}"/>
    <cellStyle name="Normal 8" xfId="6" xr:uid="{7FBAB009-7A45-47D9-9A86-1950708BBF5F}"/>
    <cellStyle name="Percent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243840</xdr:colOff>
      <xdr:row>28</xdr:row>
      <xdr:rowOff>228600</xdr:rowOff>
    </xdr:from>
    <xdr:to>
      <xdr:col>16</xdr:col>
      <xdr:colOff>592455</xdr:colOff>
      <xdr:row>30</xdr:row>
      <xdr:rowOff>15240</xdr:rowOff>
    </xdr:to>
    <xdr:pic>
      <xdr:nvPicPr>
        <xdr:cNvPr id="2" name="Picture 21">
          <a:extLst>
            <a:ext uri="{FF2B5EF4-FFF2-40B4-BE49-F238E27FC236}">
              <a16:creationId xmlns:a16="http://schemas.microsoft.com/office/drawing/2014/main" id="{FF425036-6F2E-4E80-802D-0EEB2D473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0525125"/>
          <a:ext cx="15240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358(&#48149;&#52380;&#50864;)\&#44032;BTIP\My%20Documents\SKKIM\Work1999\&#54840;&#45224;&#49437;&#50976;\&#49892;&#54665;BM\YUKONG\PROPOSAL\SEOUL\PROPOS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rope.shell.com\europe\Documents%20and%20Settings\Elaine.OHara\Local%20Settings\Temporary%20Internet%20Files\Content.IE5\4XS1YHU9\31210093(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bramanyan\670082%20koc%20sep%20scru\EPC-&#44277;&#49324;FILE\BTIP-all%20data\&#52628;&#44032;&#44204;&#51201;\&#44256;&#45768;\&#44256;&#44061;&#52285;&#44396;\DATA\SANDAN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https://ampereproengineers.sharepoint.com/sites/ProjectManagement/Shared%20Documents/Training/Day%202%20Load%20List/4%20LV%20GENERATOR%20SIZING%20&amp;%20CALCULATIONS-%20ADEQUACY%20CHECK/Rev%2000/Annexure-A%20%20Project%20Load%20List%20for%20SS%201%20and%20DG%20sizing%20Calculations.xls?EB3E06AF" TargetMode="External"/><Relationship Id="rId1" Type="http://schemas.openxmlformats.org/officeDocument/2006/relationships/externalLinkPath" Target="file:///\\EB3E06AF\Annexure-A%20%20Project%20Load%20List%20for%20SS%201%20and%20DG%20sizing%20Calculation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근"/>
      <sheetName val="갑지"/>
      <sheetName val="Appendix A14"/>
      <sheetName val="Total"/>
      <sheetName val="M"/>
      <sheetName val="Kiss"/>
      <sheetName val="List"/>
      <sheetName val="ITI"/>
      <sheetName val="IS"/>
      <sheetName val="MCS"/>
      <sheetName val="Act"/>
      <sheetName val="Late"/>
      <sheetName val="Disc"/>
      <sheetName val="PO-MFG-CT"/>
      <sheetName val="Sheet2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 1"/>
      <sheetName val="sheet 2"/>
      <sheetName val="sheet 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(OPTION)"/>
      <sheetName val="OPTION 2"/>
      <sheetName val="OPTION 3"/>
      <sheetName val="Sheet2"/>
      <sheetName val="Sheet3"/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exure A"/>
      <sheetName val="Short time overloading check"/>
    </sheetNames>
    <sheetDataSet>
      <sheetData sheetId="0">
        <row r="32">
          <cell r="I32">
            <v>911.51800000000003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8250-858B-4641-B3F6-BB2387CD800D}">
  <sheetPr>
    <pageSetUpPr fitToPage="1"/>
  </sheetPr>
  <dimension ref="A1:AE83"/>
  <sheetViews>
    <sheetView showGridLines="0" view="pageBreakPreview" topLeftCell="C21" zoomScale="70" zoomScaleNormal="70" zoomScaleSheetLayoutView="70" zoomScalePageLayoutView="55" workbookViewId="0">
      <selection activeCell="AA30" sqref="AA30"/>
    </sheetView>
  </sheetViews>
  <sheetFormatPr defaultColWidth="10" defaultRowHeight="13"/>
  <cols>
    <col min="1" max="1" width="11.81640625" style="94" customWidth="1"/>
    <col min="2" max="2" width="22.90625" style="94" customWidth="1"/>
    <col min="3" max="3" width="26.81640625" style="94" customWidth="1"/>
    <col min="4" max="4" width="17.36328125" style="94" customWidth="1"/>
    <col min="5" max="5" width="11.81640625" style="99" customWidth="1"/>
    <col min="6" max="7" width="14.6328125" style="99" customWidth="1"/>
    <col min="8" max="8" width="9" style="99" customWidth="1"/>
    <col min="9" max="9" width="11.81640625" style="99" customWidth="1"/>
    <col min="10" max="10" width="4" style="99" customWidth="1"/>
    <col min="11" max="11" width="11.81640625" style="99" customWidth="1"/>
    <col min="12" max="12" width="4" style="99" customWidth="1"/>
    <col min="13" max="13" width="9" style="99" customWidth="1"/>
    <col min="14" max="14" width="4" style="99" customWidth="1"/>
    <col min="15" max="15" width="13" style="99" customWidth="1"/>
    <col min="16" max="16" width="4" style="99" customWidth="1"/>
    <col min="17" max="17" width="17.6328125" style="94" customWidth="1"/>
    <col min="18" max="18" width="11.81640625" style="94" customWidth="1"/>
    <col min="19" max="19" width="8.453125" style="94" customWidth="1"/>
    <col min="20" max="20" width="4" style="94" customWidth="1"/>
    <col min="21" max="21" width="11.81640625" style="94" customWidth="1"/>
    <col min="22" max="22" width="8.453125" style="94" customWidth="1"/>
    <col min="23" max="23" width="4" style="94" customWidth="1"/>
    <col min="24" max="24" width="11.81640625" style="94" customWidth="1"/>
    <col min="25" max="25" width="8.453125" style="94" customWidth="1"/>
    <col min="26" max="26" width="4" style="94" customWidth="1"/>
    <col min="27" max="27" width="28.453125" style="94" customWidth="1"/>
    <col min="28" max="28" width="19.90625" style="94" customWidth="1"/>
    <col min="29" max="256" width="10" style="94"/>
    <col min="257" max="257" width="11.81640625" style="94" customWidth="1"/>
    <col min="258" max="258" width="22.90625" style="94" customWidth="1"/>
    <col min="259" max="259" width="26.81640625" style="94" customWidth="1"/>
    <col min="260" max="260" width="17.36328125" style="94" customWidth="1"/>
    <col min="261" max="261" width="11.81640625" style="94" customWidth="1"/>
    <col min="262" max="263" width="14.6328125" style="94" customWidth="1"/>
    <col min="264" max="264" width="9" style="94" customWidth="1"/>
    <col min="265" max="265" width="11.81640625" style="94" customWidth="1"/>
    <col min="266" max="266" width="4" style="94" customWidth="1"/>
    <col min="267" max="267" width="11.81640625" style="94" customWidth="1"/>
    <col min="268" max="268" width="4" style="94" customWidth="1"/>
    <col min="269" max="269" width="9" style="94" customWidth="1"/>
    <col min="270" max="270" width="4" style="94" customWidth="1"/>
    <col min="271" max="271" width="13" style="94" customWidth="1"/>
    <col min="272" max="272" width="4" style="94" customWidth="1"/>
    <col min="273" max="273" width="17.6328125" style="94" customWidth="1"/>
    <col min="274" max="274" width="11.81640625" style="94" customWidth="1"/>
    <col min="275" max="275" width="8.453125" style="94" customWidth="1"/>
    <col min="276" max="276" width="4" style="94" customWidth="1"/>
    <col min="277" max="277" width="11.81640625" style="94" customWidth="1"/>
    <col min="278" max="278" width="8.453125" style="94" customWidth="1"/>
    <col min="279" max="279" width="4" style="94" customWidth="1"/>
    <col min="280" max="280" width="11.81640625" style="94" customWidth="1"/>
    <col min="281" max="281" width="8.453125" style="94" customWidth="1"/>
    <col min="282" max="282" width="4" style="94" customWidth="1"/>
    <col min="283" max="283" width="28.453125" style="94" customWidth="1"/>
    <col min="284" max="284" width="19.90625" style="94" customWidth="1"/>
    <col min="285" max="512" width="10" style="94"/>
    <col min="513" max="513" width="11.81640625" style="94" customWidth="1"/>
    <col min="514" max="514" width="22.90625" style="94" customWidth="1"/>
    <col min="515" max="515" width="26.81640625" style="94" customWidth="1"/>
    <col min="516" max="516" width="17.36328125" style="94" customWidth="1"/>
    <col min="517" max="517" width="11.81640625" style="94" customWidth="1"/>
    <col min="518" max="519" width="14.6328125" style="94" customWidth="1"/>
    <col min="520" max="520" width="9" style="94" customWidth="1"/>
    <col min="521" max="521" width="11.81640625" style="94" customWidth="1"/>
    <col min="522" max="522" width="4" style="94" customWidth="1"/>
    <col min="523" max="523" width="11.81640625" style="94" customWidth="1"/>
    <col min="524" max="524" width="4" style="94" customWidth="1"/>
    <col min="525" max="525" width="9" style="94" customWidth="1"/>
    <col min="526" max="526" width="4" style="94" customWidth="1"/>
    <col min="527" max="527" width="13" style="94" customWidth="1"/>
    <col min="528" max="528" width="4" style="94" customWidth="1"/>
    <col min="529" max="529" width="17.6328125" style="94" customWidth="1"/>
    <col min="530" max="530" width="11.81640625" style="94" customWidth="1"/>
    <col min="531" max="531" width="8.453125" style="94" customWidth="1"/>
    <col min="532" max="532" width="4" style="94" customWidth="1"/>
    <col min="533" max="533" width="11.81640625" style="94" customWidth="1"/>
    <col min="534" max="534" width="8.453125" style="94" customWidth="1"/>
    <col min="535" max="535" width="4" style="94" customWidth="1"/>
    <col min="536" max="536" width="11.81640625" style="94" customWidth="1"/>
    <col min="537" max="537" width="8.453125" style="94" customWidth="1"/>
    <col min="538" max="538" width="4" style="94" customWidth="1"/>
    <col min="539" max="539" width="28.453125" style="94" customWidth="1"/>
    <col min="540" max="540" width="19.90625" style="94" customWidth="1"/>
    <col min="541" max="768" width="10" style="94"/>
    <col min="769" max="769" width="11.81640625" style="94" customWidth="1"/>
    <col min="770" max="770" width="22.90625" style="94" customWidth="1"/>
    <col min="771" max="771" width="26.81640625" style="94" customWidth="1"/>
    <col min="772" max="772" width="17.36328125" style="94" customWidth="1"/>
    <col min="773" max="773" width="11.81640625" style="94" customWidth="1"/>
    <col min="774" max="775" width="14.6328125" style="94" customWidth="1"/>
    <col min="776" max="776" width="9" style="94" customWidth="1"/>
    <col min="777" max="777" width="11.81640625" style="94" customWidth="1"/>
    <col min="778" max="778" width="4" style="94" customWidth="1"/>
    <col min="779" max="779" width="11.81640625" style="94" customWidth="1"/>
    <col min="780" max="780" width="4" style="94" customWidth="1"/>
    <col min="781" max="781" width="9" style="94" customWidth="1"/>
    <col min="782" max="782" width="4" style="94" customWidth="1"/>
    <col min="783" max="783" width="13" style="94" customWidth="1"/>
    <col min="784" max="784" width="4" style="94" customWidth="1"/>
    <col min="785" max="785" width="17.6328125" style="94" customWidth="1"/>
    <col min="786" max="786" width="11.81640625" style="94" customWidth="1"/>
    <col min="787" max="787" width="8.453125" style="94" customWidth="1"/>
    <col min="788" max="788" width="4" style="94" customWidth="1"/>
    <col min="789" max="789" width="11.81640625" style="94" customWidth="1"/>
    <col min="790" max="790" width="8.453125" style="94" customWidth="1"/>
    <col min="791" max="791" width="4" style="94" customWidth="1"/>
    <col min="792" max="792" width="11.81640625" style="94" customWidth="1"/>
    <col min="793" max="793" width="8.453125" style="94" customWidth="1"/>
    <col min="794" max="794" width="4" style="94" customWidth="1"/>
    <col min="795" max="795" width="28.453125" style="94" customWidth="1"/>
    <col min="796" max="796" width="19.90625" style="94" customWidth="1"/>
    <col min="797" max="1024" width="10" style="94"/>
    <col min="1025" max="1025" width="11.81640625" style="94" customWidth="1"/>
    <col min="1026" max="1026" width="22.90625" style="94" customWidth="1"/>
    <col min="1027" max="1027" width="26.81640625" style="94" customWidth="1"/>
    <col min="1028" max="1028" width="17.36328125" style="94" customWidth="1"/>
    <col min="1029" max="1029" width="11.81640625" style="94" customWidth="1"/>
    <col min="1030" max="1031" width="14.6328125" style="94" customWidth="1"/>
    <col min="1032" max="1032" width="9" style="94" customWidth="1"/>
    <col min="1033" max="1033" width="11.81640625" style="94" customWidth="1"/>
    <col min="1034" max="1034" width="4" style="94" customWidth="1"/>
    <col min="1035" max="1035" width="11.81640625" style="94" customWidth="1"/>
    <col min="1036" max="1036" width="4" style="94" customWidth="1"/>
    <col min="1037" max="1037" width="9" style="94" customWidth="1"/>
    <col min="1038" max="1038" width="4" style="94" customWidth="1"/>
    <col min="1039" max="1039" width="13" style="94" customWidth="1"/>
    <col min="1040" max="1040" width="4" style="94" customWidth="1"/>
    <col min="1041" max="1041" width="17.6328125" style="94" customWidth="1"/>
    <col min="1042" max="1042" width="11.81640625" style="94" customWidth="1"/>
    <col min="1043" max="1043" width="8.453125" style="94" customWidth="1"/>
    <col min="1044" max="1044" width="4" style="94" customWidth="1"/>
    <col min="1045" max="1045" width="11.81640625" style="94" customWidth="1"/>
    <col min="1046" max="1046" width="8.453125" style="94" customWidth="1"/>
    <col min="1047" max="1047" width="4" style="94" customWidth="1"/>
    <col min="1048" max="1048" width="11.81640625" style="94" customWidth="1"/>
    <col min="1049" max="1049" width="8.453125" style="94" customWidth="1"/>
    <col min="1050" max="1050" width="4" style="94" customWidth="1"/>
    <col min="1051" max="1051" width="28.453125" style="94" customWidth="1"/>
    <col min="1052" max="1052" width="19.90625" style="94" customWidth="1"/>
    <col min="1053" max="1280" width="10" style="94"/>
    <col min="1281" max="1281" width="11.81640625" style="94" customWidth="1"/>
    <col min="1282" max="1282" width="22.90625" style="94" customWidth="1"/>
    <col min="1283" max="1283" width="26.81640625" style="94" customWidth="1"/>
    <col min="1284" max="1284" width="17.36328125" style="94" customWidth="1"/>
    <col min="1285" max="1285" width="11.81640625" style="94" customWidth="1"/>
    <col min="1286" max="1287" width="14.6328125" style="94" customWidth="1"/>
    <col min="1288" max="1288" width="9" style="94" customWidth="1"/>
    <col min="1289" max="1289" width="11.81640625" style="94" customWidth="1"/>
    <col min="1290" max="1290" width="4" style="94" customWidth="1"/>
    <col min="1291" max="1291" width="11.81640625" style="94" customWidth="1"/>
    <col min="1292" max="1292" width="4" style="94" customWidth="1"/>
    <col min="1293" max="1293" width="9" style="94" customWidth="1"/>
    <col min="1294" max="1294" width="4" style="94" customWidth="1"/>
    <col min="1295" max="1295" width="13" style="94" customWidth="1"/>
    <col min="1296" max="1296" width="4" style="94" customWidth="1"/>
    <col min="1297" max="1297" width="17.6328125" style="94" customWidth="1"/>
    <col min="1298" max="1298" width="11.81640625" style="94" customWidth="1"/>
    <col min="1299" max="1299" width="8.453125" style="94" customWidth="1"/>
    <col min="1300" max="1300" width="4" style="94" customWidth="1"/>
    <col min="1301" max="1301" width="11.81640625" style="94" customWidth="1"/>
    <col min="1302" max="1302" width="8.453125" style="94" customWidth="1"/>
    <col min="1303" max="1303" width="4" style="94" customWidth="1"/>
    <col min="1304" max="1304" width="11.81640625" style="94" customWidth="1"/>
    <col min="1305" max="1305" width="8.453125" style="94" customWidth="1"/>
    <col min="1306" max="1306" width="4" style="94" customWidth="1"/>
    <col min="1307" max="1307" width="28.453125" style="94" customWidth="1"/>
    <col min="1308" max="1308" width="19.90625" style="94" customWidth="1"/>
    <col min="1309" max="1536" width="10" style="94"/>
    <col min="1537" max="1537" width="11.81640625" style="94" customWidth="1"/>
    <col min="1538" max="1538" width="22.90625" style="94" customWidth="1"/>
    <col min="1539" max="1539" width="26.81640625" style="94" customWidth="1"/>
    <col min="1540" max="1540" width="17.36328125" style="94" customWidth="1"/>
    <col min="1541" max="1541" width="11.81640625" style="94" customWidth="1"/>
    <col min="1542" max="1543" width="14.6328125" style="94" customWidth="1"/>
    <col min="1544" max="1544" width="9" style="94" customWidth="1"/>
    <col min="1545" max="1545" width="11.81640625" style="94" customWidth="1"/>
    <col min="1546" max="1546" width="4" style="94" customWidth="1"/>
    <col min="1547" max="1547" width="11.81640625" style="94" customWidth="1"/>
    <col min="1548" max="1548" width="4" style="94" customWidth="1"/>
    <col min="1549" max="1549" width="9" style="94" customWidth="1"/>
    <col min="1550" max="1550" width="4" style="94" customWidth="1"/>
    <col min="1551" max="1551" width="13" style="94" customWidth="1"/>
    <col min="1552" max="1552" width="4" style="94" customWidth="1"/>
    <col min="1553" max="1553" width="17.6328125" style="94" customWidth="1"/>
    <col min="1554" max="1554" width="11.81640625" style="94" customWidth="1"/>
    <col min="1555" max="1555" width="8.453125" style="94" customWidth="1"/>
    <col min="1556" max="1556" width="4" style="94" customWidth="1"/>
    <col min="1557" max="1557" width="11.81640625" style="94" customWidth="1"/>
    <col min="1558" max="1558" width="8.453125" style="94" customWidth="1"/>
    <col min="1559" max="1559" width="4" style="94" customWidth="1"/>
    <col min="1560" max="1560" width="11.81640625" style="94" customWidth="1"/>
    <col min="1561" max="1561" width="8.453125" style="94" customWidth="1"/>
    <col min="1562" max="1562" width="4" style="94" customWidth="1"/>
    <col min="1563" max="1563" width="28.453125" style="94" customWidth="1"/>
    <col min="1564" max="1564" width="19.90625" style="94" customWidth="1"/>
    <col min="1565" max="1792" width="10" style="94"/>
    <col min="1793" max="1793" width="11.81640625" style="94" customWidth="1"/>
    <col min="1794" max="1794" width="22.90625" style="94" customWidth="1"/>
    <col min="1795" max="1795" width="26.81640625" style="94" customWidth="1"/>
    <col min="1796" max="1796" width="17.36328125" style="94" customWidth="1"/>
    <col min="1797" max="1797" width="11.81640625" style="94" customWidth="1"/>
    <col min="1798" max="1799" width="14.6328125" style="94" customWidth="1"/>
    <col min="1800" max="1800" width="9" style="94" customWidth="1"/>
    <col min="1801" max="1801" width="11.81640625" style="94" customWidth="1"/>
    <col min="1802" max="1802" width="4" style="94" customWidth="1"/>
    <col min="1803" max="1803" width="11.81640625" style="94" customWidth="1"/>
    <col min="1804" max="1804" width="4" style="94" customWidth="1"/>
    <col min="1805" max="1805" width="9" style="94" customWidth="1"/>
    <col min="1806" max="1806" width="4" style="94" customWidth="1"/>
    <col min="1807" max="1807" width="13" style="94" customWidth="1"/>
    <col min="1808" max="1808" width="4" style="94" customWidth="1"/>
    <col min="1809" max="1809" width="17.6328125" style="94" customWidth="1"/>
    <col min="1810" max="1810" width="11.81640625" style="94" customWidth="1"/>
    <col min="1811" max="1811" width="8.453125" style="94" customWidth="1"/>
    <col min="1812" max="1812" width="4" style="94" customWidth="1"/>
    <col min="1813" max="1813" width="11.81640625" style="94" customWidth="1"/>
    <col min="1814" max="1814" width="8.453125" style="94" customWidth="1"/>
    <col min="1815" max="1815" width="4" style="94" customWidth="1"/>
    <col min="1816" max="1816" width="11.81640625" style="94" customWidth="1"/>
    <col min="1817" max="1817" width="8.453125" style="94" customWidth="1"/>
    <col min="1818" max="1818" width="4" style="94" customWidth="1"/>
    <col min="1819" max="1819" width="28.453125" style="94" customWidth="1"/>
    <col min="1820" max="1820" width="19.90625" style="94" customWidth="1"/>
    <col min="1821" max="2048" width="10" style="94"/>
    <col min="2049" max="2049" width="11.81640625" style="94" customWidth="1"/>
    <col min="2050" max="2050" width="22.90625" style="94" customWidth="1"/>
    <col min="2051" max="2051" width="26.81640625" style="94" customWidth="1"/>
    <col min="2052" max="2052" width="17.36328125" style="94" customWidth="1"/>
    <col min="2053" max="2053" width="11.81640625" style="94" customWidth="1"/>
    <col min="2054" max="2055" width="14.6328125" style="94" customWidth="1"/>
    <col min="2056" max="2056" width="9" style="94" customWidth="1"/>
    <col min="2057" max="2057" width="11.81640625" style="94" customWidth="1"/>
    <col min="2058" max="2058" width="4" style="94" customWidth="1"/>
    <col min="2059" max="2059" width="11.81640625" style="94" customWidth="1"/>
    <col min="2060" max="2060" width="4" style="94" customWidth="1"/>
    <col min="2061" max="2061" width="9" style="94" customWidth="1"/>
    <col min="2062" max="2062" width="4" style="94" customWidth="1"/>
    <col min="2063" max="2063" width="13" style="94" customWidth="1"/>
    <col min="2064" max="2064" width="4" style="94" customWidth="1"/>
    <col min="2065" max="2065" width="17.6328125" style="94" customWidth="1"/>
    <col min="2066" max="2066" width="11.81640625" style="94" customWidth="1"/>
    <col min="2067" max="2067" width="8.453125" style="94" customWidth="1"/>
    <col min="2068" max="2068" width="4" style="94" customWidth="1"/>
    <col min="2069" max="2069" width="11.81640625" style="94" customWidth="1"/>
    <col min="2070" max="2070" width="8.453125" style="94" customWidth="1"/>
    <col min="2071" max="2071" width="4" style="94" customWidth="1"/>
    <col min="2072" max="2072" width="11.81640625" style="94" customWidth="1"/>
    <col min="2073" max="2073" width="8.453125" style="94" customWidth="1"/>
    <col min="2074" max="2074" width="4" style="94" customWidth="1"/>
    <col min="2075" max="2075" width="28.453125" style="94" customWidth="1"/>
    <col min="2076" max="2076" width="19.90625" style="94" customWidth="1"/>
    <col min="2077" max="2304" width="10" style="94"/>
    <col min="2305" max="2305" width="11.81640625" style="94" customWidth="1"/>
    <col min="2306" max="2306" width="22.90625" style="94" customWidth="1"/>
    <col min="2307" max="2307" width="26.81640625" style="94" customWidth="1"/>
    <col min="2308" max="2308" width="17.36328125" style="94" customWidth="1"/>
    <col min="2309" max="2309" width="11.81640625" style="94" customWidth="1"/>
    <col min="2310" max="2311" width="14.6328125" style="94" customWidth="1"/>
    <col min="2312" max="2312" width="9" style="94" customWidth="1"/>
    <col min="2313" max="2313" width="11.81640625" style="94" customWidth="1"/>
    <col min="2314" max="2314" width="4" style="94" customWidth="1"/>
    <col min="2315" max="2315" width="11.81640625" style="94" customWidth="1"/>
    <col min="2316" max="2316" width="4" style="94" customWidth="1"/>
    <col min="2317" max="2317" width="9" style="94" customWidth="1"/>
    <col min="2318" max="2318" width="4" style="94" customWidth="1"/>
    <col min="2319" max="2319" width="13" style="94" customWidth="1"/>
    <col min="2320" max="2320" width="4" style="94" customWidth="1"/>
    <col min="2321" max="2321" width="17.6328125" style="94" customWidth="1"/>
    <col min="2322" max="2322" width="11.81640625" style="94" customWidth="1"/>
    <col min="2323" max="2323" width="8.453125" style="94" customWidth="1"/>
    <col min="2324" max="2324" width="4" style="94" customWidth="1"/>
    <col min="2325" max="2325" width="11.81640625" style="94" customWidth="1"/>
    <col min="2326" max="2326" width="8.453125" style="94" customWidth="1"/>
    <col min="2327" max="2327" width="4" style="94" customWidth="1"/>
    <col min="2328" max="2328" width="11.81640625" style="94" customWidth="1"/>
    <col min="2329" max="2329" width="8.453125" style="94" customWidth="1"/>
    <col min="2330" max="2330" width="4" style="94" customWidth="1"/>
    <col min="2331" max="2331" width="28.453125" style="94" customWidth="1"/>
    <col min="2332" max="2332" width="19.90625" style="94" customWidth="1"/>
    <col min="2333" max="2560" width="10" style="94"/>
    <col min="2561" max="2561" width="11.81640625" style="94" customWidth="1"/>
    <col min="2562" max="2562" width="22.90625" style="94" customWidth="1"/>
    <col min="2563" max="2563" width="26.81640625" style="94" customWidth="1"/>
    <col min="2564" max="2564" width="17.36328125" style="94" customWidth="1"/>
    <col min="2565" max="2565" width="11.81640625" style="94" customWidth="1"/>
    <col min="2566" max="2567" width="14.6328125" style="94" customWidth="1"/>
    <col min="2568" max="2568" width="9" style="94" customWidth="1"/>
    <col min="2569" max="2569" width="11.81640625" style="94" customWidth="1"/>
    <col min="2570" max="2570" width="4" style="94" customWidth="1"/>
    <col min="2571" max="2571" width="11.81640625" style="94" customWidth="1"/>
    <col min="2572" max="2572" width="4" style="94" customWidth="1"/>
    <col min="2573" max="2573" width="9" style="94" customWidth="1"/>
    <col min="2574" max="2574" width="4" style="94" customWidth="1"/>
    <col min="2575" max="2575" width="13" style="94" customWidth="1"/>
    <col min="2576" max="2576" width="4" style="94" customWidth="1"/>
    <col min="2577" max="2577" width="17.6328125" style="94" customWidth="1"/>
    <col min="2578" max="2578" width="11.81640625" style="94" customWidth="1"/>
    <col min="2579" max="2579" width="8.453125" style="94" customWidth="1"/>
    <col min="2580" max="2580" width="4" style="94" customWidth="1"/>
    <col min="2581" max="2581" width="11.81640625" style="94" customWidth="1"/>
    <col min="2582" max="2582" width="8.453125" style="94" customWidth="1"/>
    <col min="2583" max="2583" width="4" style="94" customWidth="1"/>
    <col min="2584" max="2584" width="11.81640625" style="94" customWidth="1"/>
    <col min="2585" max="2585" width="8.453125" style="94" customWidth="1"/>
    <col min="2586" max="2586" width="4" style="94" customWidth="1"/>
    <col min="2587" max="2587" width="28.453125" style="94" customWidth="1"/>
    <col min="2588" max="2588" width="19.90625" style="94" customWidth="1"/>
    <col min="2589" max="2816" width="10" style="94"/>
    <col min="2817" max="2817" width="11.81640625" style="94" customWidth="1"/>
    <col min="2818" max="2818" width="22.90625" style="94" customWidth="1"/>
    <col min="2819" max="2819" width="26.81640625" style="94" customWidth="1"/>
    <col min="2820" max="2820" width="17.36328125" style="94" customWidth="1"/>
    <col min="2821" max="2821" width="11.81640625" style="94" customWidth="1"/>
    <col min="2822" max="2823" width="14.6328125" style="94" customWidth="1"/>
    <col min="2824" max="2824" width="9" style="94" customWidth="1"/>
    <col min="2825" max="2825" width="11.81640625" style="94" customWidth="1"/>
    <col min="2826" max="2826" width="4" style="94" customWidth="1"/>
    <col min="2827" max="2827" width="11.81640625" style="94" customWidth="1"/>
    <col min="2828" max="2828" width="4" style="94" customWidth="1"/>
    <col min="2829" max="2829" width="9" style="94" customWidth="1"/>
    <col min="2830" max="2830" width="4" style="94" customWidth="1"/>
    <col min="2831" max="2831" width="13" style="94" customWidth="1"/>
    <col min="2832" max="2832" width="4" style="94" customWidth="1"/>
    <col min="2833" max="2833" width="17.6328125" style="94" customWidth="1"/>
    <col min="2834" max="2834" width="11.81640625" style="94" customWidth="1"/>
    <col min="2835" max="2835" width="8.453125" style="94" customWidth="1"/>
    <col min="2836" max="2836" width="4" style="94" customWidth="1"/>
    <col min="2837" max="2837" width="11.81640625" style="94" customWidth="1"/>
    <col min="2838" max="2838" width="8.453125" style="94" customWidth="1"/>
    <col min="2839" max="2839" width="4" style="94" customWidth="1"/>
    <col min="2840" max="2840" width="11.81640625" style="94" customWidth="1"/>
    <col min="2841" max="2841" width="8.453125" style="94" customWidth="1"/>
    <col min="2842" max="2842" width="4" style="94" customWidth="1"/>
    <col min="2843" max="2843" width="28.453125" style="94" customWidth="1"/>
    <col min="2844" max="2844" width="19.90625" style="94" customWidth="1"/>
    <col min="2845" max="3072" width="10" style="94"/>
    <col min="3073" max="3073" width="11.81640625" style="94" customWidth="1"/>
    <col min="3074" max="3074" width="22.90625" style="94" customWidth="1"/>
    <col min="3075" max="3075" width="26.81640625" style="94" customWidth="1"/>
    <col min="3076" max="3076" width="17.36328125" style="94" customWidth="1"/>
    <col min="3077" max="3077" width="11.81640625" style="94" customWidth="1"/>
    <col min="3078" max="3079" width="14.6328125" style="94" customWidth="1"/>
    <col min="3080" max="3080" width="9" style="94" customWidth="1"/>
    <col min="3081" max="3081" width="11.81640625" style="94" customWidth="1"/>
    <col min="3082" max="3082" width="4" style="94" customWidth="1"/>
    <col min="3083" max="3083" width="11.81640625" style="94" customWidth="1"/>
    <col min="3084" max="3084" width="4" style="94" customWidth="1"/>
    <col min="3085" max="3085" width="9" style="94" customWidth="1"/>
    <col min="3086" max="3086" width="4" style="94" customWidth="1"/>
    <col min="3087" max="3087" width="13" style="94" customWidth="1"/>
    <col min="3088" max="3088" width="4" style="94" customWidth="1"/>
    <col min="3089" max="3089" width="17.6328125" style="94" customWidth="1"/>
    <col min="3090" max="3090" width="11.81640625" style="94" customWidth="1"/>
    <col min="3091" max="3091" width="8.453125" style="94" customWidth="1"/>
    <col min="3092" max="3092" width="4" style="94" customWidth="1"/>
    <col min="3093" max="3093" width="11.81640625" style="94" customWidth="1"/>
    <col min="3094" max="3094" width="8.453125" style="94" customWidth="1"/>
    <col min="3095" max="3095" width="4" style="94" customWidth="1"/>
    <col min="3096" max="3096" width="11.81640625" style="94" customWidth="1"/>
    <col min="3097" max="3097" width="8.453125" style="94" customWidth="1"/>
    <col min="3098" max="3098" width="4" style="94" customWidth="1"/>
    <col min="3099" max="3099" width="28.453125" style="94" customWidth="1"/>
    <col min="3100" max="3100" width="19.90625" style="94" customWidth="1"/>
    <col min="3101" max="3328" width="10" style="94"/>
    <col min="3329" max="3329" width="11.81640625" style="94" customWidth="1"/>
    <col min="3330" max="3330" width="22.90625" style="94" customWidth="1"/>
    <col min="3331" max="3331" width="26.81640625" style="94" customWidth="1"/>
    <col min="3332" max="3332" width="17.36328125" style="94" customWidth="1"/>
    <col min="3333" max="3333" width="11.81640625" style="94" customWidth="1"/>
    <col min="3334" max="3335" width="14.6328125" style="94" customWidth="1"/>
    <col min="3336" max="3336" width="9" style="94" customWidth="1"/>
    <col min="3337" max="3337" width="11.81640625" style="94" customWidth="1"/>
    <col min="3338" max="3338" width="4" style="94" customWidth="1"/>
    <col min="3339" max="3339" width="11.81640625" style="94" customWidth="1"/>
    <col min="3340" max="3340" width="4" style="94" customWidth="1"/>
    <col min="3341" max="3341" width="9" style="94" customWidth="1"/>
    <col min="3342" max="3342" width="4" style="94" customWidth="1"/>
    <col min="3343" max="3343" width="13" style="94" customWidth="1"/>
    <col min="3344" max="3344" width="4" style="94" customWidth="1"/>
    <col min="3345" max="3345" width="17.6328125" style="94" customWidth="1"/>
    <col min="3346" max="3346" width="11.81640625" style="94" customWidth="1"/>
    <col min="3347" max="3347" width="8.453125" style="94" customWidth="1"/>
    <col min="3348" max="3348" width="4" style="94" customWidth="1"/>
    <col min="3349" max="3349" width="11.81640625" style="94" customWidth="1"/>
    <col min="3350" max="3350" width="8.453125" style="94" customWidth="1"/>
    <col min="3351" max="3351" width="4" style="94" customWidth="1"/>
    <col min="3352" max="3352" width="11.81640625" style="94" customWidth="1"/>
    <col min="3353" max="3353" width="8.453125" style="94" customWidth="1"/>
    <col min="3354" max="3354" width="4" style="94" customWidth="1"/>
    <col min="3355" max="3355" width="28.453125" style="94" customWidth="1"/>
    <col min="3356" max="3356" width="19.90625" style="94" customWidth="1"/>
    <col min="3357" max="3584" width="10" style="94"/>
    <col min="3585" max="3585" width="11.81640625" style="94" customWidth="1"/>
    <col min="3586" max="3586" width="22.90625" style="94" customWidth="1"/>
    <col min="3587" max="3587" width="26.81640625" style="94" customWidth="1"/>
    <col min="3588" max="3588" width="17.36328125" style="94" customWidth="1"/>
    <col min="3589" max="3589" width="11.81640625" style="94" customWidth="1"/>
    <col min="3590" max="3591" width="14.6328125" style="94" customWidth="1"/>
    <col min="3592" max="3592" width="9" style="94" customWidth="1"/>
    <col min="3593" max="3593" width="11.81640625" style="94" customWidth="1"/>
    <col min="3594" max="3594" width="4" style="94" customWidth="1"/>
    <col min="3595" max="3595" width="11.81640625" style="94" customWidth="1"/>
    <col min="3596" max="3596" width="4" style="94" customWidth="1"/>
    <col min="3597" max="3597" width="9" style="94" customWidth="1"/>
    <col min="3598" max="3598" width="4" style="94" customWidth="1"/>
    <col min="3599" max="3599" width="13" style="94" customWidth="1"/>
    <col min="3600" max="3600" width="4" style="94" customWidth="1"/>
    <col min="3601" max="3601" width="17.6328125" style="94" customWidth="1"/>
    <col min="3602" max="3602" width="11.81640625" style="94" customWidth="1"/>
    <col min="3603" max="3603" width="8.453125" style="94" customWidth="1"/>
    <col min="3604" max="3604" width="4" style="94" customWidth="1"/>
    <col min="3605" max="3605" width="11.81640625" style="94" customWidth="1"/>
    <col min="3606" max="3606" width="8.453125" style="94" customWidth="1"/>
    <col min="3607" max="3607" width="4" style="94" customWidth="1"/>
    <col min="3608" max="3608" width="11.81640625" style="94" customWidth="1"/>
    <col min="3609" max="3609" width="8.453125" style="94" customWidth="1"/>
    <col min="3610" max="3610" width="4" style="94" customWidth="1"/>
    <col min="3611" max="3611" width="28.453125" style="94" customWidth="1"/>
    <col min="3612" max="3612" width="19.90625" style="94" customWidth="1"/>
    <col min="3613" max="3840" width="10" style="94"/>
    <col min="3841" max="3841" width="11.81640625" style="94" customWidth="1"/>
    <col min="3842" max="3842" width="22.90625" style="94" customWidth="1"/>
    <col min="3843" max="3843" width="26.81640625" style="94" customWidth="1"/>
    <col min="3844" max="3844" width="17.36328125" style="94" customWidth="1"/>
    <col min="3845" max="3845" width="11.81640625" style="94" customWidth="1"/>
    <col min="3846" max="3847" width="14.6328125" style="94" customWidth="1"/>
    <col min="3848" max="3848" width="9" style="94" customWidth="1"/>
    <col min="3849" max="3849" width="11.81640625" style="94" customWidth="1"/>
    <col min="3850" max="3850" width="4" style="94" customWidth="1"/>
    <col min="3851" max="3851" width="11.81640625" style="94" customWidth="1"/>
    <col min="3852" max="3852" width="4" style="94" customWidth="1"/>
    <col min="3853" max="3853" width="9" style="94" customWidth="1"/>
    <col min="3854" max="3854" width="4" style="94" customWidth="1"/>
    <col min="3855" max="3855" width="13" style="94" customWidth="1"/>
    <col min="3856" max="3856" width="4" style="94" customWidth="1"/>
    <col min="3857" max="3857" width="17.6328125" style="94" customWidth="1"/>
    <col min="3858" max="3858" width="11.81640625" style="94" customWidth="1"/>
    <col min="3859" max="3859" width="8.453125" style="94" customWidth="1"/>
    <col min="3860" max="3860" width="4" style="94" customWidth="1"/>
    <col min="3861" max="3861" width="11.81640625" style="94" customWidth="1"/>
    <col min="3862" max="3862" width="8.453125" style="94" customWidth="1"/>
    <col min="3863" max="3863" width="4" style="94" customWidth="1"/>
    <col min="3864" max="3864" width="11.81640625" style="94" customWidth="1"/>
    <col min="3865" max="3865" width="8.453125" style="94" customWidth="1"/>
    <col min="3866" max="3866" width="4" style="94" customWidth="1"/>
    <col min="3867" max="3867" width="28.453125" style="94" customWidth="1"/>
    <col min="3868" max="3868" width="19.90625" style="94" customWidth="1"/>
    <col min="3869" max="4096" width="10" style="94"/>
    <col min="4097" max="4097" width="11.81640625" style="94" customWidth="1"/>
    <col min="4098" max="4098" width="22.90625" style="94" customWidth="1"/>
    <col min="4099" max="4099" width="26.81640625" style="94" customWidth="1"/>
    <col min="4100" max="4100" width="17.36328125" style="94" customWidth="1"/>
    <col min="4101" max="4101" width="11.81640625" style="94" customWidth="1"/>
    <col min="4102" max="4103" width="14.6328125" style="94" customWidth="1"/>
    <col min="4104" max="4104" width="9" style="94" customWidth="1"/>
    <col min="4105" max="4105" width="11.81640625" style="94" customWidth="1"/>
    <col min="4106" max="4106" width="4" style="94" customWidth="1"/>
    <col min="4107" max="4107" width="11.81640625" style="94" customWidth="1"/>
    <col min="4108" max="4108" width="4" style="94" customWidth="1"/>
    <col min="4109" max="4109" width="9" style="94" customWidth="1"/>
    <col min="4110" max="4110" width="4" style="94" customWidth="1"/>
    <col min="4111" max="4111" width="13" style="94" customWidth="1"/>
    <col min="4112" max="4112" width="4" style="94" customWidth="1"/>
    <col min="4113" max="4113" width="17.6328125" style="94" customWidth="1"/>
    <col min="4114" max="4114" width="11.81640625" style="94" customWidth="1"/>
    <col min="4115" max="4115" width="8.453125" style="94" customWidth="1"/>
    <col min="4116" max="4116" width="4" style="94" customWidth="1"/>
    <col min="4117" max="4117" width="11.81640625" style="94" customWidth="1"/>
    <col min="4118" max="4118" width="8.453125" style="94" customWidth="1"/>
    <col min="4119" max="4119" width="4" style="94" customWidth="1"/>
    <col min="4120" max="4120" width="11.81640625" style="94" customWidth="1"/>
    <col min="4121" max="4121" width="8.453125" style="94" customWidth="1"/>
    <col min="4122" max="4122" width="4" style="94" customWidth="1"/>
    <col min="4123" max="4123" width="28.453125" style="94" customWidth="1"/>
    <col min="4124" max="4124" width="19.90625" style="94" customWidth="1"/>
    <col min="4125" max="4352" width="10" style="94"/>
    <col min="4353" max="4353" width="11.81640625" style="94" customWidth="1"/>
    <col min="4354" max="4354" width="22.90625" style="94" customWidth="1"/>
    <col min="4355" max="4355" width="26.81640625" style="94" customWidth="1"/>
    <col min="4356" max="4356" width="17.36328125" style="94" customWidth="1"/>
    <col min="4357" max="4357" width="11.81640625" style="94" customWidth="1"/>
    <col min="4358" max="4359" width="14.6328125" style="94" customWidth="1"/>
    <col min="4360" max="4360" width="9" style="94" customWidth="1"/>
    <col min="4361" max="4361" width="11.81640625" style="94" customWidth="1"/>
    <col min="4362" max="4362" width="4" style="94" customWidth="1"/>
    <col min="4363" max="4363" width="11.81640625" style="94" customWidth="1"/>
    <col min="4364" max="4364" width="4" style="94" customWidth="1"/>
    <col min="4365" max="4365" width="9" style="94" customWidth="1"/>
    <col min="4366" max="4366" width="4" style="94" customWidth="1"/>
    <col min="4367" max="4367" width="13" style="94" customWidth="1"/>
    <col min="4368" max="4368" width="4" style="94" customWidth="1"/>
    <col min="4369" max="4369" width="17.6328125" style="94" customWidth="1"/>
    <col min="4370" max="4370" width="11.81640625" style="94" customWidth="1"/>
    <col min="4371" max="4371" width="8.453125" style="94" customWidth="1"/>
    <col min="4372" max="4372" width="4" style="94" customWidth="1"/>
    <col min="4373" max="4373" width="11.81640625" style="94" customWidth="1"/>
    <col min="4374" max="4374" width="8.453125" style="94" customWidth="1"/>
    <col min="4375" max="4375" width="4" style="94" customWidth="1"/>
    <col min="4376" max="4376" width="11.81640625" style="94" customWidth="1"/>
    <col min="4377" max="4377" width="8.453125" style="94" customWidth="1"/>
    <col min="4378" max="4378" width="4" style="94" customWidth="1"/>
    <col min="4379" max="4379" width="28.453125" style="94" customWidth="1"/>
    <col min="4380" max="4380" width="19.90625" style="94" customWidth="1"/>
    <col min="4381" max="4608" width="10" style="94"/>
    <col min="4609" max="4609" width="11.81640625" style="94" customWidth="1"/>
    <col min="4610" max="4610" width="22.90625" style="94" customWidth="1"/>
    <col min="4611" max="4611" width="26.81640625" style="94" customWidth="1"/>
    <col min="4612" max="4612" width="17.36328125" style="94" customWidth="1"/>
    <col min="4613" max="4613" width="11.81640625" style="94" customWidth="1"/>
    <col min="4614" max="4615" width="14.6328125" style="94" customWidth="1"/>
    <col min="4616" max="4616" width="9" style="94" customWidth="1"/>
    <col min="4617" max="4617" width="11.81640625" style="94" customWidth="1"/>
    <col min="4618" max="4618" width="4" style="94" customWidth="1"/>
    <col min="4619" max="4619" width="11.81640625" style="94" customWidth="1"/>
    <col min="4620" max="4620" width="4" style="94" customWidth="1"/>
    <col min="4621" max="4621" width="9" style="94" customWidth="1"/>
    <col min="4622" max="4622" width="4" style="94" customWidth="1"/>
    <col min="4623" max="4623" width="13" style="94" customWidth="1"/>
    <col min="4624" max="4624" width="4" style="94" customWidth="1"/>
    <col min="4625" max="4625" width="17.6328125" style="94" customWidth="1"/>
    <col min="4626" max="4626" width="11.81640625" style="94" customWidth="1"/>
    <col min="4627" max="4627" width="8.453125" style="94" customWidth="1"/>
    <col min="4628" max="4628" width="4" style="94" customWidth="1"/>
    <col min="4629" max="4629" width="11.81640625" style="94" customWidth="1"/>
    <col min="4630" max="4630" width="8.453125" style="94" customWidth="1"/>
    <col min="4631" max="4631" width="4" style="94" customWidth="1"/>
    <col min="4632" max="4632" width="11.81640625" style="94" customWidth="1"/>
    <col min="4633" max="4633" width="8.453125" style="94" customWidth="1"/>
    <col min="4634" max="4634" width="4" style="94" customWidth="1"/>
    <col min="4635" max="4635" width="28.453125" style="94" customWidth="1"/>
    <col min="4636" max="4636" width="19.90625" style="94" customWidth="1"/>
    <col min="4637" max="4864" width="10" style="94"/>
    <col min="4865" max="4865" width="11.81640625" style="94" customWidth="1"/>
    <col min="4866" max="4866" width="22.90625" style="94" customWidth="1"/>
    <col min="4867" max="4867" width="26.81640625" style="94" customWidth="1"/>
    <col min="4868" max="4868" width="17.36328125" style="94" customWidth="1"/>
    <col min="4869" max="4869" width="11.81640625" style="94" customWidth="1"/>
    <col min="4870" max="4871" width="14.6328125" style="94" customWidth="1"/>
    <col min="4872" max="4872" width="9" style="94" customWidth="1"/>
    <col min="4873" max="4873" width="11.81640625" style="94" customWidth="1"/>
    <col min="4874" max="4874" width="4" style="94" customWidth="1"/>
    <col min="4875" max="4875" width="11.81640625" style="94" customWidth="1"/>
    <col min="4876" max="4876" width="4" style="94" customWidth="1"/>
    <col min="4877" max="4877" width="9" style="94" customWidth="1"/>
    <col min="4878" max="4878" width="4" style="94" customWidth="1"/>
    <col min="4879" max="4879" width="13" style="94" customWidth="1"/>
    <col min="4880" max="4880" width="4" style="94" customWidth="1"/>
    <col min="4881" max="4881" width="17.6328125" style="94" customWidth="1"/>
    <col min="4882" max="4882" width="11.81640625" style="94" customWidth="1"/>
    <col min="4883" max="4883" width="8.453125" style="94" customWidth="1"/>
    <col min="4884" max="4884" width="4" style="94" customWidth="1"/>
    <col min="4885" max="4885" width="11.81640625" style="94" customWidth="1"/>
    <col min="4886" max="4886" width="8.453125" style="94" customWidth="1"/>
    <col min="4887" max="4887" width="4" style="94" customWidth="1"/>
    <col min="4888" max="4888" width="11.81640625" style="94" customWidth="1"/>
    <col min="4889" max="4889" width="8.453125" style="94" customWidth="1"/>
    <col min="4890" max="4890" width="4" style="94" customWidth="1"/>
    <col min="4891" max="4891" width="28.453125" style="94" customWidth="1"/>
    <col min="4892" max="4892" width="19.90625" style="94" customWidth="1"/>
    <col min="4893" max="5120" width="10" style="94"/>
    <col min="5121" max="5121" width="11.81640625" style="94" customWidth="1"/>
    <col min="5122" max="5122" width="22.90625" style="94" customWidth="1"/>
    <col min="5123" max="5123" width="26.81640625" style="94" customWidth="1"/>
    <col min="5124" max="5124" width="17.36328125" style="94" customWidth="1"/>
    <col min="5125" max="5125" width="11.81640625" style="94" customWidth="1"/>
    <col min="5126" max="5127" width="14.6328125" style="94" customWidth="1"/>
    <col min="5128" max="5128" width="9" style="94" customWidth="1"/>
    <col min="5129" max="5129" width="11.81640625" style="94" customWidth="1"/>
    <col min="5130" max="5130" width="4" style="94" customWidth="1"/>
    <col min="5131" max="5131" width="11.81640625" style="94" customWidth="1"/>
    <col min="5132" max="5132" width="4" style="94" customWidth="1"/>
    <col min="5133" max="5133" width="9" style="94" customWidth="1"/>
    <col min="5134" max="5134" width="4" style="94" customWidth="1"/>
    <col min="5135" max="5135" width="13" style="94" customWidth="1"/>
    <col min="5136" max="5136" width="4" style="94" customWidth="1"/>
    <col min="5137" max="5137" width="17.6328125" style="94" customWidth="1"/>
    <col min="5138" max="5138" width="11.81640625" style="94" customWidth="1"/>
    <col min="5139" max="5139" width="8.453125" style="94" customWidth="1"/>
    <col min="5140" max="5140" width="4" style="94" customWidth="1"/>
    <col min="5141" max="5141" width="11.81640625" style="94" customWidth="1"/>
    <col min="5142" max="5142" width="8.453125" style="94" customWidth="1"/>
    <col min="5143" max="5143" width="4" style="94" customWidth="1"/>
    <col min="5144" max="5144" width="11.81640625" style="94" customWidth="1"/>
    <col min="5145" max="5145" width="8.453125" style="94" customWidth="1"/>
    <col min="5146" max="5146" width="4" style="94" customWidth="1"/>
    <col min="5147" max="5147" width="28.453125" style="94" customWidth="1"/>
    <col min="5148" max="5148" width="19.90625" style="94" customWidth="1"/>
    <col min="5149" max="5376" width="10" style="94"/>
    <col min="5377" max="5377" width="11.81640625" style="94" customWidth="1"/>
    <col min="5378" max="5378" width="22.90625" style="94" customWidth="1"/>
    <col min="5379" max="5379" width="26.81640625" style="94" customWidth="1"/>
    <col min="5380" max="5380" width="17.36328125" style="94" customWidth="1"/>
    <col min="5381" max="5381" width="11.81640625" style="94" customWidth="1"/>
    <col min="5382" max="5383" width="14.6328125" style="94" customWidth="1"/>
    <col min="5384" max="5384" width="9" style="94" customWidth="1"/>
    <col min="5385" max="5385" width="11.81640625" style="94" customWidth="1"/>
    <col min="5386" max="5386" width="4" style="94" customWidth="1"/>
    <col min="5387" max="5387" width="11.81640625" style="94" customWidth="1"/>
    <col min="5388" max="5388" width="4" style="94" customWidth="1"/>
    <col min="5389" max="5389" width="9" style="94" customWidth="1"/>
    <col min="5390" max="5390" width="4" style="94" customWidth="1"/>
    <col min="5391" max="5391" width="13" style="94" customWidth="1"/>
    <col min="5392" max="5392" width="4" style="94" customWidth="1"/>
    <col min="5393" max="5393" width="17.6328125" style="94" customWidth="1"/>
    <col min="5394" max="5394" width="11.81640625" style="94" customWidth="1"/>
    <col min="5395" max="5395" width="8.453125" style="94" customWidth="1"/>
    <col min="5396" max="5396" width="4" style="94" customWidth="1"/>
    <col min="5397" max="5397" width="11.81640625" style="94" customWidth="1"/>
    <col min="5398" max="5398" width="8.453125" style="94" customWidth="1"/>
    <col min="5399" max="5399" width="4" style="94" customWidth="1"/>
    <col min="5400" max="5400" width="11.81640625" style="94" customWidth="1"/>
    <col min="5401" max="5401" width="8.453125" style="94" customWidth="1"/>
    <col min="5402" max="5402" width="4" style="94" customWidth="1"/>
    <col min="5403" max="5403" width="28.453125" style="94" customWidth="1"/>
    <col min="5404" max="5404" width="19.90625" style="94" customWidth="1"/>
    <col min="5405" max="5632" width="10" style="94"/>
    <col min="5633" max="5633" width="11.81640625" style="94" customWidth="1"/>
    <col min="5634" max="5634" width="22.90625" style="94" customWidth="1"/>
    <col min="5635" max="5635" width="26.81640625" style="94" customWidth="1"/>
    <col min="5636" max="5636" width="17.36328125" style="94" customWidth="1"/>
    <col min="5637" max="5637" width="11.81640625" style="94" customWidth="1"/>
    <col min="5638" max="5639" width="14.6328125" style="94" customWidth="1"/>
    <col min="5640" max="5640" width="9" style="94" customWidth="1"/>
    <col min="5641" max="5641" width="11.81640625" style="94" customWidth="1"/>
    <col min="5642" max="5642" width="4" style="94" customWidth="1"/>
    <col min="5643" max="5643" width="11.81640625" style="94" customWidth="1"/>
    <col min="5644" max="5644" width="4" style="94" customWidth="1"/>
    <col min="5645" max="5645" width="9" style="94" customWidth="1"/>
    <col min="5646" max="5646" width="4" style="94" customWidth="1"/>
    <col min="5647" max="5647" width="13" style="94" customWidth="1"/>
    <col min="5648" max="5648" width="4" style="94" customWidth="1"/>
    <col min="5649" max="5649" width="17.6328125" style="94" customWidth="1"/>
    <col min="5650" max="5650" width="11.81640625" style="94" customWidth="1"/>
    <col min="5651" max="5651" width="8.453125" style="94" customWidth="1"/>
    <col min="5652" max="5652" width="4" style="94" customWidth="1"/>
    <col min="5653" max="5653" width="11.81640625" style="94" customWidth="1"/>
    <col min="5654" max="5654" width="8.453125" style="94" customWidth="1"/>
    <col min="5655" max="5655" width="4" style="94" customWidth="1"/>
    <col min="5656" max="5656" width="11.81640625" style="94" customWidth="1"/>
    <col min="5657" max="5657" width="8.453125" style="94" customWidth="1"/>
    <col min="5658" max="5658" width="4" style="94" customWidth="1"/>
    <col min="5659" max="5659" width="28.453125" style="94" customWidth="1"/>
    <col min="5660" max="5660" width="19.90625" style="94" customWidth="1"/>
    <col min="5661" max="5888" width="10" style="94"/>
    <col min="5889" max="5889" width="11.81640625" style="94" customWidth="1"/>
    <col min="5890" max="5890" width="22.90625" style="94" customWidth="1"/>
    <col min="5891" max="5891" width="26.81640625" style="94" customWidth="1"/>
    <col min="5892" max="5892" width="17.36328125" style="94" customWidth="1"/>
    <col min="5893" max="5893" width="11.81640625" style="94" customWidth="1"/>
    <col min="5894" max="5895" width="14.6328125" style="94" customWidth="1"/>
    <col min="5896" max="5896" width="9" style="94" customWidth="1"/>
    <col min="5897" max="5897" width="11.81640625" style="94" customWidth="1"/>
    <col min="5898" max="5898" width="4" style="94" customWidth="1"/>
    <col min="5899" max="5899" width="11.81640625" style="94" customWidth="1"/>
    <col min="5900" max="5900" width="4" style="94" customWidth="1"/>
    <col min="5901" max="5901" width="9" style="94" customWidth="1"/>
    <col min="5902" max="5902" width="4" style="94" customWidth="1"/>
    <col min="5903" max="5903" width="13" style="94" customWidth="1"/>
    <col min="5904" max="5904" width="4" style="94" customWidth="1"/>
    <col min="5905" max="5905" width="17.6328125" style="94" customWidth="1"/>
    <col min="5906" max="5906" width="11.81640625" style="94" customWidth="1"/>
    <col min="5907" max="5907" width="8.453125" style="94" customWidth="1"/>
    <col min="5908" max="5908" width="4" style="94" customWidth="1"/>
    <col min="5909" max="5909" width="11.81640625" style="94" customWidth="1"/>
    <col min="5910" max="5910" width="8.453125" style="94" customWidth="1"/>
    <col min="5911" max="5911" width="4" style="94" customWidth="1"/>
    <col min="5912" max="5912" width="11.81640625" style="94" customWidth="1"/>
    <col min="5913" max="5913" width="8.453125" style="94" customWidth="1"/>
    <col min="5914" max="5914" width="4" style="94" customWidth="1"/>
    <col min="5915" max="5915" width="28.453125" style="94" customWidth="1"/>
    <col min="5916" max="5916" width="19.90625" style="94" customWidth="1"/>
    <col min="5917" max="6144" width="10" style="94"/>
    <col min="6145" max="6145" width="11.81640625" style="94" customWidth="1"/>
    <col min="6146" max="6146" width="22.90625" style="94" customWidth="1"/>
    <col min="6147" max="6147" width="26.81640625" style="94" customWidth="1"/>
    <col min="6148" max="6148" width="17.36328125" style="94" customWidth="1"/>
    <col min="6149" max="6149" width="11.81640625" style="94" customWidth="1"/>
    <col min="6150" max="6151" width="14.6328125" style="94" customWidth="1"/>
    <col min="6152" max="6152" width="9" style="94" customWidth="1"/>
    <col min="6153" max="6153" width="11.81640625" style="94" customWidth="1"/>
    <col min="6154" max="6154" width="4" style="94" customWidth="1"/>
    <col min="6155" max="6155" width="11.81640625" style="94" customWidth="1"/>
    <col min="6156" max="6156" width="4" style="94" customWidth="1"/>
    <col min="6157" max="6157" width="9" style="94" customWidth="1"/>
    <col min="6158" max="6158" width="4" style="94" customWidth="1"/>
    <col min="6159" max="6159" width="13" style="94" customWidth="1"/>
    <col min="6160" max="6160" width="4" style="94" customWidth="1"/>
    <col min="6161" max="6161" width="17.6328125" style="94" customWidth="1"/>
    <col min="6162" max="6162" width="11.81640625" style="94" customWidth="1"/>
    <col min="6163" max="6163" width="8.453125" style="94" customWidth="1"/>
    <col min="6164" max="6164" width="4" style="94" customWidth="1"/>
    <col min="6165" max="6165" width="11.81640625" style="94" customWidth="1"/>
    <col min="6166" max="6166" width="8.453125" style="94" customWidth="1"/>
    <col min="6167" max="6167" width="4" style="94" customWidth="1"/>
    <col min="6168" max="6168" width="11.81640625" style="94" customWidth="1"/>
    <col min="6169" max="6169" width="8.453125" style="94" customWidth="1"/>
    <col min="6170" max="6170" width="4" style="94" customWidth="1"/>
    <col min="6171" max="6171" width="28.453125" style="94" customWidth="1"/>
    <col min="6172" max="6172" width="19.90625" style="94" customWidth="1"/>
    <col min="6173" max="6400" width="10" style="94"/>
    <col min="6401" max="6401" width="11.81640625" style="94" customWidth="1"/>
    <col min="6402" max="6402" width="22.90625" style="94" customWidth="1"/>
    <col min="6403" max="6403" width="26.81640625" style="94" customWidth="1"/>
    <col min="6404" max="6404" width="17.36328125" style="94" customWidth="1"/>
    <col min="6405" max="6405" width="11.81640625" style="94" customWidth="1"/>
    <col min="6406" max="6407" width="14.6328125" style="94" customWidth="1"/>
    <col min="6408" max="6408" width="9" style="94" customWidth="1"/>
    <col min="6409" max="6409" width="11.81640625" style="94" customWidth="1"/>
    <col min="6410" max="6410" width="4" style="94" customWidth="1"/>
    <col min="6411" max="6411" width="11.81640625" style="94" customWidth="1"/>
    <col min="6412" max="6412" width="4" style="94" customWidth="1"/>
    <col min="6413" max="6413" width="9" style="94" customWidth="1"/>
    <col min="6414" max="6414" width="4" style="94" customWidth="1"/>
    <col min="6415" max="6415" width="13" style="94" customWidth="1"/>
    <col min="6416" max="6416" width="4" style="94" customWidth="1"/>
    <col min="6417" max="6417" width="17.6328125" style="94" customWidth="1"/>
    <col min="6418" max="6418" width="11.81640625" style="94" customWidth="1"/>
    <col min="6419" max="6419" width="8.453125" style="94" customWidth="1"/>
    <col min="6420" max="6420" width="4" style="94" customWidth="1"/>
    <col min="6421" max="6421" width="11.81640625" style="94" customWidth="1"/>
    <col min="6422" max="6422" width="8.453125" style="94" customWidth="1"/>
    <col min="6423" max="6423" width="4" style="94" customWidth="1"/>
    <col min="6424" max="6424" width="11.81640625" style="94" customWidth="1"/>
    <col min="6425" max="6425" width="8.453125" style="94" customWidth="1"/>
    <col min="6426" max="6426" width="4" style="94" customWidth="1"/>
    <col min="6427" max="6427" width="28.453125" style="94" customWidth="1"/>
    <col min="6428" max="6428" width="19.90625" style="94" customWidth="1"/>
    <col min="6429" max="6656" width="10" style="94"/>
    <col min="6657" max="6657" width="11.81640625" style="94" customWidth="1"/>
    <col min="6658" max="6658" width="22.90625" style="94" customWidth="1"/>
    <col min="6659" max="6659" width="26.81640625" style="94" customWidth="1"/>
    <col min="6660" max="6660" width="17.36328125" style="94" customWidth="1"/>
    <col min="6661" max="6661" width="11.81640625" style="94" customWidth="1"/>
    <col min="6662" max="6663" width="14.6328125" style="94" customWidth="1"/>
    <col min="6664" max="6664" width="9" style="94" customWidth="1"/>
    <col min="6665" max="6665" width="11.81640625" style="94" customWidth="1"/>
    <col min="6666" max="6666" width="4" style="94" customWidth="1"/>
    <col min="6667" max="6667" width="11.81640625" style="94" customWidth="1"/>
    <col min="6668" max="6668" width="4" style="94" customWidth="1"/>
    <col min="6669" max="6669" width="9" style="94" customWidth="1"/>
    <col min="6670" max="6670" width="4" style="94" customWidth="1"/>
    <col min="6671" max="6671" width="13" style="94" customWidth="1"/>
    <col min="6672" max="6672" width="4" style="94" customWidth="1"/>
    <col min="6673" max="6673" width="17.6328125" style="94" customWidth="1"/>
    <col min="6674" max="6674" width="11.81640625" style="94" customWidth="1"/>
    <col min="6675" max="6675" width="8.453125" style="94" customWidth="1"/>
    <col min="6676" max="6676" width="4" style="94" customWidth="1"/>
    <col min="6677" max="6677" width="11.81640625" style="94" customWidth="1"/>
    <col min="6678" max="6678" width="8.453125" style="94" customWidth="1"/>
    <col min="6679" max="6679" width="4" style="94" customWidth="1"/>
    <col min="6680" max="6680" width="11.81640625" style="94" customWidth="1"/>
    <col min="6681" max="6681" width="8.453125" style="94" customWidth="1"/>
    <col min="6682" max="6682" width="4" style="94" customWidth="1"/>
    <col min="6683" max="6683" width="28.453125" style="94" customWidth="1"/>
    <col min="6684" max="6684" width="19.90625" style="94" customWidth="1"/>
    <col min="6685" max="6912" width="10" style="94"/>
    <col min="6913" max="6913" width="11.81640625" style="94" customWidth="1"/>
    <col min="6914" max="6914" width="22.90625" style="94" customWidth="1"/>
    <col min="6915" max="6915" width="26.81640625" style="94" customWidth="1"/>
    <col min="6916" max="6916" width="17.36328125" style="94" customWidth="1"/>
    <col min="6917" max="6917" width="11.81640625" style="94" customWidth="1"/>
    <col min="6918" max="6919" width="14.6328125" style="94" customWidth="1"/>
    <col min="6920" max="6920" width="9" style="94" customWidth="1"/>
    <col min="6921" max="6921" width="11.81640625" style="94" customWidth="1"/>
    <col min="6922" max="6922" width="4" style="94" customWidth="1"/>
    <col min="6923" max="6923" width="11.81640625" style="94" customWidth="1"/>
    <col min="6924" max="6924" width="4" style="94" customWidth="1"/>
    <col min="6925" max="6925" width="9" style="94" customWidth="1"/>
    <col min="6926" max="6926" width="4" style="94" customWidth="1"/>
    <col min="6927" max="6927" width="13" style="94" customWidth="1"/>
    <col min="6928" max="6928" width="4" style="94" customWidth="1"/>
    <col min="6929" max="6929" width="17.6328125" style="94" customWidth="1"/>
    <col min="6930" max="6930" width="11.81640625" style="94" customWidth="1"/>
    <col min="6931" max="6931" width="8.453125" style="94" customWidth="1"/>
    <col min="6932" max="6932" width="4" style="94" customWidth="1"/>
    <col min="6933" max="6933" width="11.81640625" style="94" customWidth="1"/>
    <col min="6934" max="6934" width="8.453125" style="94" customWidth="1"/>
    <col min="6935" max="6935" width="4" style="94" customWidth="1"/>
    <col min="6936" max="6936" width="11.81640625" style="94" customWidth="1"/>
    <col min="6937" max="6937" width="8.453125" style="94" customWidth="1"/>
    <col min="6938" max="6938" width="4" style="94" customWidth="1"/>
    <col min="6939" max="6939" width="28.453125" style="94" customWidth="1"/>
    <col min="6940" max="6940" width="19.90625" style="94" customWidth="1"/>
    <col min="6941" max="7168" width="10" style="94"/>
    <col min="7169" max="7169" width="11.81640625" style="94" customWidth="1"/>
    <col min="7170" max="7170" width="22.90625" style="94" customWidth="1"/>
    <col min="7171" max="7171" width="26.81640625" style="94" customWidth="1"/>
    <col min="7172" max="7172" width="17.36328125" style="94" customWidth="1"/>
    <col min="7173" max="7173" width="11.81640625" style="94" customWidth="1"/>
    <col min="7174" max="7175" width="14.6328125" style="94" customWidth="1"/>
    <col min="7176" max="7176" width="9" style="94" customWidth="1"/>
    <col min="7177" max="7177" width="11.81640625" style="94" customWidth="1"/>
    <col min="7178" max="7178" width="4" style="94" customWidth="1"/>
    <col min="7179" max="7179" width="11.81640625" style="94" customWidth="1"/>
    <col min="7180" max="7180" width="4" style="94" customWidth="1"/>
    <col min="7181" max="7181" width="9" style="94" customWidth="1"/>
    <col min="7182" max="7182" width="4" style="94" customWidth="1"/>
    <col min="7183" max="7183" width="13" style="94" customWidth="1"/>
    <col min="7184" max="7184" width="4" style="94" customWidth="1"/>
    <col min="7185" max="7185" width="17.6328125" style="94" customWidth="1"/>
    <col min="7186" max="7186" width="11.81640625" style="94" customWidth="1"/>
    <col min="7187" max="7187" width="8.453125" style="94" customWidth="1"/>
    <col min="7188" max="7188" width="4" style="94" customWidth="1"/>
    <col min="7189" max="7189" width="11.81640625" style="94" customWidth="1"/>
    <col min="7190" max="7190" width="8.453125" style="94" customWidth="1"/>
    <col min="7191" max="7191" width="4" style="94" customWidth="1"/>
    <col min="7192" max="7192" width="11.81640625" style="94" customWidth="1"/>
    <col min="7193" max="7193" width="8.453125" style="94" customWidth="1"/>
    <col min="7194" max="7194" width="4" style="94" customWidth="1"/>
    <col min="7195" max="7195" width="28.453125" style="94" customWidth="1"/>
    <col min="7196" max="7196" width="19.90625" style="94" customWidth="1"/>
    <col min="7197" max="7424" width="10" style="94"/>
    <col min="7425" max="7425" width="11.81640625" style="94" customWidth="1"/>
    <col min="7426" max="7426" width="22.90625" style="94" customWidth="1"/>
    <col min="7427" max="7427" width="26.81640625" style="94" customWidth="1"/>
    <col min="7428" max="7428" width="17.36328125" style="94" customWidth="1"/>
    <col min="7429" max="7429" width="11.81640625" style="94" customWidth="1"/>
    <col min="7430" max="7431" width="14.6328125" style="94" customWidth="1"/>
    <col min="7432" max="7432" width="9" style="94" customWidth="1"/>
    <col min="7433" max="7433" width="11.81640625" style="94" customWidth="1"/>
    <col min="7434" max="7434" width="4" style="94" customWidth="1"/>
    <col min="7435" max="7435" width="11.81640625" style="94" customWidth="1"/>
    <col min="7436" max="7436" width="4" style="94" customWidth="1"/>
    <col min="7437" max="7437" width="9" style="94" customWidth="1"/>
    <col min="7438" max="7438" width="4" style="94" customWidth="1"/>
    <col min="7439" max="7439" width="13" style="94" customWidth="1"/>
    <col min="7440" max="7440" width="4" style="94" customWidth="1"/>
    <col min="7441" max="7441" width="17.6328125" style="94" customWidth="1"/>
    <col min="7442" max="7442" width="11.81640625" style="94" customWidth="1"/>
    <col min="7443" max="7443" width="8.453125" style="94" customWidth="1"/>
    <col min="7444" max="7444" width="4" style="94" customWidth="1"/>
    <col min="7445" max="7445" width="11.81640625" style="94" customWidth="1"/>
    <col min="7446" max="7446" width="8.453125" style="94" customWidth="1"/>
    <col min="7447" max="7447" width="4" style="94" customWidth="1"/>
    <col min="7448" max="7448" width="11.81640625" style="94" customWidth="1"/>
    <col min="7449" max="7449" width="8.453125" style="94" customWidth="1"/>
    <col min="7450" max="7450" width="4" style="94" customWidth="1"/>
    <col min="7451" max="7451" width="28.453125" style="94" customWidth="1"/>
    <col min="7452" max="7452" width="19.90625" style="94" customWidth="1"/>
    <col min="7453" max="7680" width="10" style="94"/>
    <col min="7681" max="7681" width="11.81640625" style="94" customWidth="1"/>
    <col min="7682" max="7682" width="22.90625" style="94" customWidth="1"/>
    <col min="7683" max="7683" width="26.81640625" style="94" customWidth="1"/>
    <col min="7684" max="7684" width="17.36328125" style="94" customWidth="1"/>
    <col min="7685" max="7685" width="11.81640625" style="94" customWidth="1"/>
    <col min="7686" max="7687" width="14.6328125" style="94" customWidth="1"/>
    <col min="7688" max="7688" width="9" style="94" customWidth="1"/>
    <col min="7689" max="7689" width="11.81640625" style="94" customWidth="1"/>
    <col min="7690" max="7690" width="4" style="94" customWidth="1"/>
    <col min="7691" max="7691" width="11.81640625" style="94" customWidth="1"/>
    <col min="7692" max="7692" width="4" style="94" customWidth="1"/>
    <col min="7693" max="7693" width="9" style="94" customWidth="1"/>
    <col min="7694" max="7694" width="4" style="94" customWidth="1"/>
    <col min="7695" max="7695" width="13" style="94" customWidth="1"/>
    <col min="7696" max="7696" width="4" style="94" customWidth="1"/>
    <col min="7697" max="7697" width="17.6328125" style="94" customWidth="1"/>
    <col min="7698" max="7698" width="11.81640625" style="94" customWidth="1"/>
    <col min="7699" max="7699" width="8.453125" style="94" customWidth="1"/>
    <col min="7700" max="7700" width="4" style="94" customWidth="1"/>
    <col min="7701" max="7701" width="11.81640625" style="94" customWidth="1"/>
    <col min="7702" max="7702" width="8.453125" style="94" customWidth="1"/>
    <col min="7703" max="7703" width="4" style="94" customWidth="1"/>
    <col min="7704" max="7704" width="11.81640625" style="94" customWidth="1"/>
    <col min="7705" max="7705" width="8.453125" style="94" customWidth="1"/>
    <col min="7706" max="7706" width="4" style="94" customWidth="1"/>
    <col min="7707" max="7707" width="28.453125" style="94" customWidth="1"/>
    <col min="7708" max="7708" width="19.90625" style="94" customWidth="1"/>
    <col min="7709" max="7936" width="10" style="94"/>
    <col min="7937" max="7937" width="11.81640625" style="94" customWidth="1"/>
    <col min="7938" max="7938" width="22.90625" style="94" customWidth="1"/>
    <col min="7939" max="7939" width="26.81640625" style="94" customWidth="1"/>
    <col min="7940" max="7940" width="17.36328125" style="94" customWidth="1"/>
    <col min="7941" max="7941" width="11.81640625" style="94" customWidth="1"/>
    <col min="7942" max="7943" width="14.6328125" style="94" customWidth="1"/>
    <col min="7944" max="7944" width="9" style="94" customWidth="1"/>
    <col min="7945" max="7945" width="11.81640625" style="94" customWidth="1"/>
    <col min="7946" max="7946" width="4" style="94" customWidth="1"/>
    <col min="7947" max="7947" width="11.81640625" style="94" customWidth="1"/>
    <col min="7948" max="7948" width="4" style="94" customWidth="1"/>
    <col min="7949" max="7949" width="9" style="94" customWidth="1"/>
    <col min="7950" max="7950" width="4" style="94" customWidth="1"/>
    <col min="7951" max="7951" width="13" style="94" customWidth="1"/>
    <col min="7952" max="7952" width="4" style="94" customWidth="1"/>
    <col min="7953" max="7953" width="17.6328125" style="94" customWidth="1"/>
    <col min="7954" max="7954" width="11.81640625" style="94" customWidth="1"/>
    <col min="7955" max="7955" width="8.453125" style="94" customWidth="1"/>
    <col min="7956" max="7956" width="4" style="94" customWidth="1"/>
    <col min="7957" max="7957" width="11.81640625" style="94" customWidth="1"/>
    <col min="7958" max="7958" width="8.453125" style="94" customWidth="1"/>
    <col min="7959" max="7959" width="4" style="94" customWidth="1"/>
    <col min="7960" max="7960" width="11.81640625" style="94" customWidth="1"/>
    <col min="7961" max="7961" width="8.453125" style="94" customWidth="1"/>
    <col min="7962" max="7962" width="4" style="94" customWidth="1"/>
    <col min="7963" max="7963" width="28.453125" style="94" customWidth="1"/>
    <col min="7964" max="7964" width="19.90625" style="94" customWidth="1"/>
    <col min="7965" max="8192" width="10" style="94"/>
    <col min="8193" max="8193" width="11.81640625" style="94" customWidth="1"/>
    <col min="8194" max="8194" width="22.90625" style="94" customWidth="1"/>
    <col min="8195" max="8195" width="26.81640625" style="94" customWidth="1"/>
    <col min="8196" max="8196" width="17.36328125" style="94" customWidth="1"/>
    <col min="8197" max="8197" width="11.81640625" style="94" customWidth="1"/>
    <col min="8198" max="8199" width="14.6328125" style="94" customWidth="1"/>
    <col min="8200" max="8200" width="9" style="94" customWidth="1"/>
    <col min="8201" max="8201" width="11.81640625" style="94" customWidth="1"/>
    <col min="8202" max="8202" width="4" style="94" customWidth="1"/>
    <col min="8203" max="8203" width="11.81640625" style="94" customWidth="1"/>
    <col min="8204" max="8204" width="4" style="94" customWidth="1"/>
    <col min="8205" max="8205" width="9" style="94" customWidth="1"/>
    <col min="8206" max="8206" width="4" style="94" customWidth="1"/>
    <col min="8207" max="8207" width="13" style="94" customWidth="1"/>
    <col min="8208" max="8208" width="4" style="94" customWidth="1"/>
    <col min="8209" max="8209" width="17.6328125" style="94" customWidth="1"/>
    <col min="8210" max="8210" width="11.81640625" style="94" customWidth="1"/>
    <col min="8211" max="8211" width="8.453125" style="94" customWidth="1"/>
    <col min="8212" max="8212" width="4" style="94" customWidth="1"/>
    <col min="8213" max="8213" width="11.81640625" style="94" customWidth="1"/>
    <col min="8214" max="8214" width="8.453125" style="94" customWidth="1"/>
    <col min="8215" max="8215" width="4" style="94" customWidth="1"/>
    <col min="8216" max="8216" width="11.81640625" style="94" customWidth="1"/>
    <col min="8217" max="8217" width="8.453125" style="94" customWidth="1"/>
    <col min="8218" max="8218" width="4" style="94" customWidth="1"/>
    <col min="8219" max="8219" width="28.453125" style="94" customWidth="1"/>
    <col min="8220" max="8220" width="19.90625" style="94" customWidth="1"/>
    <col min="8221" max="8448" width="10" style="94"/>
    <col min="8449" max="8449" width="11.81640625" style="94" customWidth="1"/>
    <col min="8450" max="8450" width="22.90625" style="94" customWidth="1"/>
    <col min="8451" max="8451" width="26.81640625" style="94" customWidth="1"/>
    <col min="8452" max="8452" width="17.36328125" style="94" customWidth="1"/>
    <col min="8453" max="8453" width="11.81640625" style="94" customWidth="1"/>
    <col min="8454" max="8455" width="14.6328125" style="94" customWidth="1"/>
    <col min="8456" max="8456" width="9" style="94" customWidth="1"/>
    <col min="8457" max="8457" width="11.81640625" style="94" customWidth="1"/>
    <col min="8458" max="8458" width="4" style="94" customWidth="1"/>
    <col min="8459" max="8459" width="11.81640625" style="94" customWidth="1"/>
    <col min="8460" max="8460" width="4" style="94" customWidth="1"/>
    <col min="8461" max="8461" width="9" style="94" customWidth="1"/>
    <col min="8462" max="8462" width="4" style="94" customWidth="1"/>
    <col min="8463" max="8463" width="13" style="94" customWidth="1"/>
    <col min="8464" max="8464" width="4" style="94" customWidth="1"/>
    <col min="8465" max="8465" width="17.6328125" style="94" customWidth="1"/>
    <col min="8466" max="8466" width="11.81640625" style="94" customWidth="1"/>
    <col min="8467" max="8467" width="8.453125" style="94" customWidth="1"/>
    <col min="8468" max="8468" width="4" style="94" customWidth="1"/>
    <col min="8469" max="8469" width="11.81640625" style="94" customWidth="1"/>
    <col min="8470" max="8470" width="8.453125" style="94" customWidth="1"/>
    <col min="8471" max="8471" width="4" style="94" customWidth="1"/>
    <col min="8472" max="8472" width="11.81640625" style="94" customWidth="1"/>
    <col min="8473" max="8473" width="8.453125" style="94" customWidth="1"/>
    <col min="8474" max="8474" width="4" style="94" customWidth="1"/>
    <col min="8475" max="8475" width="28.453125" style="94" customWidth="1"/>
    <col min="8476" max="8476" width="19.90625" style="94" customWidth="1"/>
    <col min="8477" max="8704" width="10" style="94"/>
    <col min="8705" max="8705" width="11.81640625" style="94" customWidth="1"/>
    <col min="8706" max="8706" width="22.90625" style="94" customWidth="1"/>
    <col min="8707" max="8707" width="26.81640625" style="94" customWidth="1"/>
    <col min="8708" max="8708" width="17.36328125" style="94" customWidth="1"/>
    <col min="8709" max="8709" width="11.81640625" style="94" customWidth="1"/>
    <col min="8710" max="8711" width="14.6328125" style="94" customWidth="1"/>
    <col min="8712" max="8712" width="9" style="94" customWidth="1"/>
    <col min="8713" max="8713" width="11.81640625" style="94" customWidth="1"/>
    <col min="8714" max="8714" width="4" style="94" customWidth="1"/>
    <col min="8715" max="8715" width="11.81640625" style="94" customWidth="1"/>
    <col min="8716" max="8716" width="4" style="94" customWidth="1"/>
    <col min="8717" max="8717" width="9" style="94" customWidth="1"/>
    <col min="8718" max="8718" width="4" style="94" customWidth="1"/>
    <col min="8719" max="8719" width="13" style="94" customWidth="1"/>
    <col min="8720" max="8720" width="4" style="94" customWidth="1"/>
    <col min="8721" max="8721" width="17.6328125" style="94" customWidth="1"/>
    <col min="8722" max="8722" width="11.81640625" style="94" customWidth="1"/>
    <col min="8723" max="8723" width="8.453125" style="94" customWidth="1"/>
    <col min="8724" max="8724" width="4" style="94" customWidth="1"/>
    <col min="8725" max="8725" width="11.81640625" style="94" customWidth="1"/>
    <col min="8726" max="8726" width="8.453125" style="94" customWidth="1"/>
    <col min="8727" max="8727" width="4" style="94" customWidth="1"/>
    <col min="8728" max="8728" width="11.81640625" style="94" customWidth="1"/>
    <col min="8729" max="8729" width="8.453125" style="94" customWidth="1"/>
    <col min="8730" max="8730" width="4" style="94" customWidth="1"/>
    <col min="8731" max="8731" width="28.453125" style="94" customWidth="1"/>
    <col min="8732" max="8732" width="19.90625" style="94" customWidth="1"/>
    <col min="8733" max="8960" width="10" style="94"/>
    <col min="8961" max="8961" width="11.81640625" style="94" customWidth="1"/>
    <col min="8962" max="8962" width="22.90625" style="94" customWidth="1"/>
    <col min="8963" max="8963" width="26.81640625" style="94" customWidth="1"/>
    <col min="8964" max="8964" width="17.36328125" style="94" customWidth="1"/>
    <col min="8965" max="8965" width="11.81640625" style="94" customWidth="1"/>
    <col min="8966" max="8967" width="14.6328125" style="94" customWidth="1"/>
    <col min="8968" max="8968" width="9" style="94" customWidth="1"/>
    <col min="8969" max="8969" width="11.81640625" style="94" customWidth="1"/>
    <col min="8970" max="8970" width="4" style="94" customWidth="1"/>
    <col min="8971" max="8971" width="11.81640625" style="94" customWidth="1"/>
    <col min="8972" max="8972" width="4" style="94" customWidth="1"/>
    <col min="8973" max="8973" width="9" style="94" customWidth="1"/>
    <col min="8974" max="8974" width="4" style="94" customWidth="1"/>
    <col min="8975" max="8975" width="13" style="94" customWidth="1"/>
    <col min="8976" max="8976" width="4" style="94" customWidth="1"/>
    <col min="8977" max="8977" width="17.6328125" style="94" customWidth="1"/>
    <col min="8978" max="8978" width="11.81640625" style="94" customWidth="1"/>
    <col min="8979" max="8979" width="8.453125" style="94" customWidth="1"/>
    <col min="8980" max="8980" width="4" style="94" customWidth="1"/>
    <col min="8981" max="8981" width="11.81640625" style="94" customWidth="1"/>
    <col min="8982" max="8982" width="8.453125" style="94" customWidth="1"/>
    <col min="8983" max="8983" width="4" style="94" customWidth="1"/>
    <col min="8984" max="8984" width="11.81640625" style="94" customWidth="1"/>
    <col min="8985" max="8985" width="8.453125" style="94" customWidth="1"/>
    <col min="8986" max="8986" width="4" style="94" customWidth="1"/>
    <col min="8987" max="8987" width="28.453125" style="94" customWidth="1"/>
    <col min="8988" max="8988" width="19.90625" style="94" customWidth="1"/>
    <col min="8989" max="9216" width="10" style="94"/>
    <col min="9217" max="9217" width="11.81640625" style="94" customWidth="1"/>
    <col min="9218" max="9218" width="22.90625" style="94" customWidth="1"/>
    <col min="9219" max="9219" width="26.81640625" style="94" customWidth="1"/>
    <col min="9220" max="9220" width="17.36328125" style="94" customWidth="1"/>
    <col min="9221" max="9221" width="11.81640625" style="94" customWidth="1"/>
    <col min="9222" max="9223" width="14.6328125" style="94" customWidth="1"/>
    <col min="9224" max="9224" width="9" style="94" customWidth="1"/>
    <col min="9225" max="9225" width="11.81640625" style="94" customWidth="1"/>
    <col min="9226" max="9226" width="4" style="94" customWidth="1"/>
    <col min="9227" max="9227" width="11.81640625" style="94" customWidth="1"/>
    <col min="9228" max="9228" width="4" style="94" customWidth="1"/>
    <col min="9229" max="9229" width="9" style="94" customWidth="1"/>
    <col min="9230" max="9230" width="4" style="94" customWidth="1"/>
    <col min="9231" max="9231" width="13" style="94" customWidth="1"/>
    <col min="9232" max="9232" width="4" style="94" customWidth="1"/>
    <col min="9233" max="9233" width="17.6328125" style="94" customWidth="1"/>
    <col min="9234" max="9234" width="11.81640625" style="94" customWidth="1"/>
    <col min="9235" max="9235" width="8.453125" style="94" customWidth="1"/>
    <col min="9236" max="9236" width="4" style="94" customWidth="1"/>
    <col min="9237" max="9237" width="11.81640625" style="94" customWidth="1"/>
    <col min="9238" max="9238" width="8.453125" style="94" customWidth="1"/>
    <col min="9239" max="9239" width="4" style="94" customWidth="1"/>
    <col min="9240" max="9240" width="11.81640625" style="94" customWidth="1"/>
    <col min="9241" max="9241" width="8.453125" style="94" customWidth="1"/>
    <col min="9242" max="9242" width="4" style="94" customWidth="1"/>
    <col min="9243" max="9243" width="28.453125" style="94" customWidth="1"/>
    <col min="9244" max="9244" width="19.90625" style="94" customWidth="1"/>
    <col min="9245" max="9472" width="10" style="94"/>
    <col min="9473" max="9473" width="11.81640625" style="94" customWidth="1"/>
    <col min="9474" max="9474" width="22.90625" style="94" customWidth="1"/>
    <col min="9475" max="9475" width="26.81640625" style="94" customWidth="1"/>
    <col min="9476" max="9476" width="17.36328125" style="94" customWidth="1"/>
    <col min="9477" max="9477" width="11.81640625" style="94" customWidth="1"/>
    <col min="9478" max="9479" width="14.6328125" style="94" customWidth="1"/>
    <col min="9480" max="9480" width="9" style="94" customWidth="1"/>
    <col min="9481" max="9481" width="11.81640625" style="94" customWidth="1"/>
    <col min="9482" max="9482" width="4" style="94" customWidth="1"/>
    <col min="9483" max="9483" width="11.81640625" style="94" customWidth="1"/>
    <col min="9484" max="9484" width="4" style="94" customWidth="1"/>
    <col min="9485" max="9485" width="9" style="94" customWidth="1"/>
    <col min="9486" max="9486" width="4" style="94" customWidth="1"/>
    <col min="9487" max="9487" width="13" style="94" customWidth="1"/>
    <col min="9488" max="9488" width="4" style="94" customWidth="1"/>
    <col min="9489" max="9489" width="17.6328125" style="94" customWidth="1"/>
    <col min="9490" max="9490" width="11.81640625" style="94" customWidth="1"/>
    <col min="9491" max="9491" width="8.453125" style="94" customWidth="1"/>
    <col min="9492" max="9492" width="4" style="94" customWidth="1"/>
    <col min="9493" max="9493" width="11.81640625" style="94" customWidth="1"/>
    <col min="9494" max="9494" width="8.453125" style="94" customWidth="1"/>
    <col min="9495" max="9495" width="4" style="94" customWidth="1"/>
    <col min="9496" max="9496" width="11.81640625" style="94" customWidth="1"/>
    <col min="9497" max="9497" width="8.453125" style="94" customWidth="1"/>
    <col min="9498" max="9498" width="4" style="94" customWidth="1"/>
    <col min="9499" max="9499" width="28.453125" style="94" customWidth="1"/>
    <col min="9500" max="9500" width="19.90625" style="94" customWidth="1"/>
    <col min="9501" max="9728" width="10" style="94"/>
    <col min="9729" max="9729" width="11.81640625" style="94" customWidth="1"/>
    <col min="9730" max="9730" width="22.90625" style="94" customWidth="1"/>
    <col min="9731" max="9731" width="26.81640625" style="94" customWidth="1"/>
    <col min="9732" max="9732" width="17.36328125" style="94" customWidth="1"/>
    <col min="9733" max="9733" width="11.81640625" style="94" customWidth="1"/>
    <col min="9734" max="9735" width="14.6328125" style="94" customWidth="1"/>
    <col min="9736" max="9736" width="9" style="94" customWidth="1"/>
    <col min="9737" max="9737" width="11.81640625" style="94" customWidth="1"/>
    <col min="9738" max="9738" width="4" style="94" customWidth="1"/>
    <col min="9739" max="9739" width="11.81640625" style="94" customWidth="1"/>
    <col min="9740" max="9740" width="4" style="94" customWidth="1"/>
    <col min="9741" max="9741" width="9" style="94" customWidth="1"/>
    <col min="9742" max="9742" width="4" style="94" customWidth="1"/>
    <col min="9743" max="9743" width="13" style="94" customWidth="1"/>
    <col min="9744" max="9744" width="4" style="94" customWidth="1"/>
    <col min="9745" max="9745" width="17.6328125" style="94" customWidth="1"/>
    <col min="9746" max="9746" width="11.81640625" style="94" customWidth="1"/>
    <col min="9747" max="9747" width="8.453125" style="94" customWidth="1"/>
    <col min="9748" max="9748" width="4" style="94" customWidth="1"/>
    <col min="9749" max="9749" width="11.81640625" style="94" customWidth="1"/>
    <col min="9750" max="9750" width="8.453125" style="94" customWidth="1"/>
    <col min="9751" max="9751" width="4" style="94" customWidth="1"/>
    <col min="9752" max="9752" width="11.81640625" style="94" customWidth="1"/>
    <col min="9753" max="9753" width="8.453125" style="94" customWidth="1"/>
    <col min="9754" max="9754" width="4" style="94" customWidth="1"/>
    <col min="9755" max="9755" width="28.453125" style="94" customWidth="1"/>
    <col min="9756" max="9756" width="19.90625" style="94" customWidth="1"/>
    <col min="9757" max="9984" width="10" style="94"/>
    <col min="9985" max="9985" width="11.81640625" style="94" customWidth="1"/>
    <col min="9986" max="9986" width="22.90625" style="94" customWidth="1"/>
    <col min="9987" max="9987" width="26.81640625" style="94" customWidth="1"/>
    <col min="9988" max="9988" width="17.36328125" style="94" customWidth="1"/>
    <col min="9989" max="9989" width="11.81640625" style="94" customWidth="1"/>
    <col min="9990" max="9991" width="14.6328125" style="94" customWidth="1"/>
    <col min="9992" max="9992" width="9" style="94" customWidth="1"/>
    <col min="9993" max="9993" width="11.81640625" style="94" customWidth="1"/>
    <col min="9994" max="9994" width="4" style="94" customWidth="1"/>
    <col min="9995" max="9995" width="11.81640625" style="94" customWidth="1"/>
    <col min="9996" max="9996" width="4" style="94" customWidth="1"/>
    <col min="9997" max="9997" width="9" style="94" customWidth="1"/>
    <col min="9998" max="9998" width="4" style="94" customWidth="1"/>
    <col min="9999" max="9999" width="13" style="94" customWidth="1"/>
    <col min="10000" max="10000" width="4" style="94" customWidth="1"/>
    <col min="10001" max="10001" width="17.6328125" style="94" customWidth="1"/>
    <col min="10002" max="10002" width="11.81640625" style="94" customWidth="1"/>
    <col min="10003" max="10003" width="8.453125" style="94" customWidth="1"/>
    <col min="10004" max="10004" width="4" style="94" customWidth="1"/>
    <col min="10005" max="10005" width="11.81640625" style="94" customWidth="1"/>
    <col min="10006" max="10006" width="8.453125" style="94" customWidth="1"/>
    <col min="10007" max="10007" width="4" style="94" customWidth="1"/>
    <col min="10008" max="10008" width="11.81640625" style="94" customWidth="1"/>
    <col min="10009" max="10009" width="8.453125" style="94" customWidth="1"/>
    <col min="10010" max="10010" width="4" style="94" customWidth="1"/>
    <col min="10011" max="10011" width="28.453125" style="94" customWidth="1"/>
    <col min="10012" max="10012" width="19.90625" style="94" customWidth="1"/>
    <col min="10013" max="10240" width="10" style="94"/>
    <col min="10241" max="10241" width="11.81640625" style="94" customWidth="1"/>
    <col min="10242" max="10242" width="22.90625" style="94" customWidth="1"/>
    <col min="10243" max="10243" width="26.81640625" style="94" customWidth="1"/>
    <col min="10244" max="10244" width="17.36328125" style="94" customWidth="1"/>
    <col min="10245" max="10245" width="11.81640625" style="94" customWidth="1"/>
    <col min="10246" max="10247" width="14.6328125" style="94" customWidth="1"/>
    <col min="10248" max="10248" width="9" style="94" customWidth="1"/>
    <col min="10249" max="10249" width="11.81640625" style="94" customWidth="1"/>
    <col min="10250" max="10250" width="4" style="94" customWidth="1"/>
    <col min="10251" max="10251" width="11.81640625" style="94" customWidth="1"/>
    <col min="10252" max="10252" width="4" style="94" customWidth="1"/>
    <col min="10253" max="10253" width="9" style="94" customWidth="1"/>
    <col min="10254" max="10254" width="4" style="94" customWidth="1"/>
    <col min="10255" max="10255" width="13" style="94" customWidth="1"/>
    <col min="10256" max="10256" width="4" style="94" customWidth="1"/>
    <col min="10257" max="10257" width="17.6328125" style="94" customWidth="1"/>
    <col min="10258" max="10258" width="11.81640625" style="94" customWidth="1"/>
    <col min="10259" max="10259" width="8.453125" style="94" customWidth="1"/>
    <col min="10260" max="10260" width="4" style="94" customWidth="1"/>
    <col min="10261" max="10261" width="11.81640625" style="94" customWidth="1"/>
    <col min="10262" max="10262" width="8.453125" style="94" customWidth="1"/>
    <col min="10263" max="10263" width="4" style="94" customWidth="1"/>
    <col min="10264" max="10264" width="11.81640625" style="94" customWidth="1"/>
    <col min="10265" max="10265" width="8.453125" style="94" customWidth="1"/>
    <col min="10266" max="10266" width="4" style="94" customWidth="1"/>
    <col min="10267" max="10267" width="28.453125" style="94" customWidth="1"/>
    <col min="10268" max="10268" width="19.90625" style="94" customWidth="1"/>
    <col min="10269" max="10496" width="10" style="94"/>
    <col min="10497" max="10497" width="11.81640625" style="94" customWidth="1"/>
    <col min="10498" max="10498" width="22.90625" style="94" customWidth="1"/>
    <col min="10499" max="10499" width="26.81640625" style="94" customWidth="1"/>
    <col min="10500" max="10500" width="17.36328125" style="94" customWidth="1"/>
    <col min="10501" max="10501" width="11.81640625" style="94" customWidth="1"/>
    <col min="10502" max="10503" width="14.6328125" style="94" customWidth="1"/>
    <col min="10504" max="10504" width="9" style="94" customWidth="1"/>
    <col min="10505" max="10505" width="11.81640625" style="94" customWidth="1"/>
    <col min="10506" max="10506" width="4" style="94" customWidth="1"/>
    <col min="10507" max="10507" width="11.81640625" style="94" customWidth="1"/>
    <col min="10508" max="10508" width="4" style="94" customWidth="1"/>
    <col min="10509" max="10509" width="9" style="94" customWidth="1"/>
    <col min="10510" max="10510" width="4" style="94" customWidth="1"/>
    <col min="10511" max="10511" width="13" style="94" customWidth="1"/>
    <col min="10512" max="10512" width="4" style="94" customWidth="1"/>
    <col min="10513" max="10513" width="17.6328125" style="94" customWidth="1"/>
    <col min="10514" max="10514" width="11.81640625" style="94" customWidth="1"/>
    <col min="10515" max="10515" width="8.453125" style="94" customWidth="1"/>
    <col min="10516" max="10516" width="4" style="94" customWidth="1"/>
    <col min="10517" max="10517" width="11.81640625" style="94" customWidth="1"/>
    <col min="10518" max="10518" width="8.453125" style="94" customWidth="1"/>
    <col min="10519" max="10519" width="4" style="94" customWidth="1"/>
    <col min="10520" max="10520" width="11.81640625" style="94" customWidth="1"/>
    <col min="10521" max="10521" width="8.453125" style="94" customWidth="1"/>
    <col min="10522" max="10522" width="4" style="94" customWidth="1"/>
    <col min="10523" max="10523" width="28.453125" style="94" customWidth="1"/>
    <col min="10524" max="10524" width="19.90625" style="94" customWidth="1"/>
    <col min="10525" max="10752" width="10" style="94"/>
    <col min="10753" max="10753" width="11.81640625" style="94" customWidth="1"/>
    <col min="10754" max="10754" width="22.90625" style="94" customWidth="1"/>
    <col min="10755" max="10755" width="26.81640625" style="94" customWidth="1"/>
    <col min="10756" max="10756" width="17.36328125" style="94" customWidth="1"/>
    <col min="10757" max="10757" width="11.81640625" style="94" customWidth="1"/>
    <col min="10758" max="10759" width="14.6328125" style="94" customWidth="1"/>
    <col min="10760" max="10760" width="9" style="94" customWidth="1"/>
    <col min="10761" max="10761" width="11.81640625" style="94" customWidth="1"/>
    <col min="10762" max="10762" width="4" style="94" customWidth="1"/>
    <col min="10763" max="10763" width="11.81640625" style="94" customWidth="1"/>
    <col min="10764" max="10764" width="4" style="94" customWidth="1"/>
    <col min="10765" max="10765" width="9" style="94" customWidth="1"/>
    <col min="10766" max="10766" width="4" style="94" customWidth="1"/>
    <col min="10767" max="10767" width="13" style="94" customWidth="1"/>
    <col min="10768" max="10768" width="4" style="94" customWidth="1"/>
    <col min="10769" max="10769" width="17.6328125" style="94" customWidth="1"/>
    <col min="10770" max="10770" width="11.81640625" style="94" customWidth="1"/>
    <col min="10771" max="10771" width="8.453125" style="94" customWidth="1"/>
    <col min="10772" max="10772" width="4" style="94" customWidth="1"/>
    <col min="10773" max="10773" width="11.81640625" style="94" customWidth="1"/>
    <col min="10774" max="10774" width="8.453125" style="94" customWidth="1"/>
    <col min="10775" max="10775" width="4" style="94" customWidth="1"/>
    <col min="10776" max="10776" width="11.81640625" style="94" customWidth="1"/>
    <col min="10777" max="10777" width="8.453125" style="94" customWidth="1"/>
    <col min="10778" max="10778" width="4" style="94" customWidth="1"/>
    <col min="10779" max="10779" width="28.453125" style="94" customWidth="1"/>
    <col min="10780" max="10780" width="19.90625" style="94" customWidth="1"/>
    <col min="10781" max="11008" width="10" style="94"/>
    <col min="11009" max="11009" width="11.81640625" style="94" customWidth="1"/>
    <col min="11010" max="11010" width="22.90625" style="94" customWidth="1"/>
    <col min="11011" max="11011" width="26.81640625" style="94" customWidth="1"/>
    <col min="11012" max="11012" width="17.36328125" style="94" customWidth="1"/>
    <col min="11013" max="11013" width="11.81640625" style="94" customWidth="1"/>
    <col min="11014" max="11015" width="14.6328125" style="94" customWidth="1"/>
    <col min="11016" max="11016" width="9" style="94" customWidth="1"/>
    <col min="11017" max="11017" width="11.81640625" style="94" customWidth="1"/>
    <col min="11018" max="11018" width="4" style="94" customWidth="1"/>
    <col min="11019" max="11019" width="11.81640625" style="94" customWidth="1"/>
    <col min="11020" max="11020" width="4" style="94" customWidth="1"/>
    <col min="11021" max="11021" width="9" style="94" customWidth="1"/>
    <col min="11022" max="11022" width="4" style="94" customWidth="1"/>
    <col min="11023" max="11023" width="13" style="94" customWidth="1"/>
    <col min="11024" max="11024" width="4" style="94" customWidth="1"/>
    <col min="11025" max="11025" width="17.6328125" style="94" customWidth="1"/>
    <col min="11026" max="11026" width="11.81640625" style="94" customWidth="1"/>
    <col min="11027" max="11027" width="8.453125" style="94" customWidth="1"/>
    <col min="11028" max="11028" width="4" style="94" customWidth="1"/>
    <col min="11029" max="11029" width="11.81640625" style="94" customWidth="1"/>
    <col min="11030" max="11030" width="8.453125" style="94" customWidth="1"/>
    <col min="11031" max="11031" width="4" style="94" customWidth="1"/>
    <col min="11032" max="11032" width="11.81640625" style="94" customWidth="1"/>
    <col min="11033" max="11033" width="8.453125" style="94" customWidth="1"/>
    <col min="11034" max="11034" width="4" style="94" customWidth="1"/>
    <col min="11035" max="11035" width="28.453125" style="94" customWidth="1"/>
    <col min="11036" max="11036" width="19.90625" style="94" customWidth="1"/>
    <col min="11037" max="11264" width="10" style="94"/>
    <col min="11265" max="11265" width="11.81640625" style="94" customWidth="1"/>
    <col min="11266" max="11266" width="22.90625" style="94" customWidth="1"/>
    <col min="11267" max="11267" width="26.81640625" style="94" customWidth="1"/>
    <col min="11268" max="11268" width="17.36328125" style="94" customWidth="1"/>
    <col min="11269" max="11269" width="11.81640625" style="94" customWidth="1"/>
    <col min="11270" max="11271" width="14.6328125" style="94" customWidth="1"/>
    <col min="11272" max="11272" width="9" style="94" customWidth="1"/>
    <col min="11273" max="11273" width="11.81640625" style="94" customWidth="1"/>
    <col min="11274" max="11274" width="4" style="94" customWidth="1"/>
    <col min="11275" max="11275" width="11.81640625" style="94" customWidth="1"/>
    <col min="11276" max="11276" width="4" style="94" customWidth="1"/>
    <col min="11277" max="11277" width="9" style="94" customWidth="1"/>
    <col min="11278" max="11278" width="4" style="94" customWidth="1"/>
    <col min="11279" max="11279" width="13" style="94" customWidth="1"/>
    <col min="11280" max="11280" width="4" style="94" customWidth="1"/>
    <col min="11281" max="11281" width="17.6328125" style="94" customWidth="1"/>
    <col min="11282" max="11282" width="11.81640625" style="94" customWidth="1"/>
    <col min="11283" max="11283" width="8.453125" style="94" customWidth="1"/>
    <col min="11284" max="11284" width="4" style="94" customWidth="1"/>
    <col min="11285" max="11285" width="11.81640625" style="94" customWidth="1"/>
    <col min="11286" max="11286" width="8.453125" style="94" customWidth="1"/>
    <col min="11287" max="11287" width="4" style="94" customWidth="1"/>
    <col min="11288" max="11288" width="11.81640625" style="94" customWidth="1"/>
    <col min="11289" max="11289" width="8.453125" style="94" customWidth="1"/>
    <col min="11290" max="11290" width="4" style="94" customWidth="1"/>
    <col min="11291" max="11291" width="28.453125" style="94" customWidth="1"/>
    <col min="11292" max="11292" width="19.90625" style="94" customWidth="1"/>
    <col min="11293" max="11520" width="10" style="94"/>
    <col min="11521" max="11521" width="11.81640625" style="94" customWidth="1"/>
    <col min="11522" max="11522" width="22.90625" style="94" customWidth="1"/>
    <col min="11523" max="11523" width="26.81640625" style="94" customWidth="1"/>
    <col min="11524" max="11524" width="17.36328125" style="94" customWidth="1"/>
    <col min="11525" max="11525" width="11.81640625" style="94" customWidth="1"/>
    <col min="11526" max="11527" width="14.6328125" style="94" customWidth="1"/>
    <col min="11528" max="11528" width="9" style="94" customWidth="1"/>
    <col min="11529" max="11529" width="11.81640625" style="94" customWidth="1"/>
    <col min="11530" max="11530" width="4" style="94" customWidth="1"/>
    <col min="11531" max="11531" width="11.81640625" style="94" customWidth="1"/>
    <col min="11532" max="11532" width="4" style="94" customWidth="1"/>
    <col min="11533" max="11533" width="9" style="94" customWidth="1"/>
    <col min="11534" max="11534" width="4" style="94" customWidth="1"/>
    <col min="11535" max="11535" width="13" style="94" customWidth="1"/>
    <col min="11536" max="11536" width="4" style="94" customWidth="1"/>
    <col min="11537" max="11537" width="17.6328125" style="94" customWidth="1"/>
    <col min="11538" max="11538" width="11.81640625" style="94" customWidth="1"/>
    <col min="11539" max="11539" width="8.453125" style="94" customWidth="1"/>
    <col min="11540" max="11540" width="4" style="94" customWidth="1"/>
    <col min="11541" max="11541" width="11.81640625" style="94" customWidth="1"/>
    <col min="11542" max="11542" width="8.453125" style="94" customWidth="1"/>
    <col min="11543" max="11543" width="4" style="94" customWidth="1"/>
    <col min="11544" max="11544" width="11.81640625" style="94" customWidth="1"/>
    <col min="11545" max="11545" width="8.453125" style="94" customWidth="1"/>
    <col min="11546" max="11546" width="4" style="94" customWidth="1"/>
    <col min="11547" max="11547" width="28.453125" style="94" customWidth="1"/>
    <col min="11548" max="11548" width="19.90625" style="94" customWidth="1"/>
    <col min="11549" max="11776" width="10" style="94"/>
    <col min="11777" max="11777" width="11.81640625" style="94" customWidth="1"/>
    <col min="11778" max="11778" width="22.90625" style="94" customWidth="1"/>
    <col min="11779" max="11779" width="26.81640625" style="94" customWidth="1"/>
    <col min="11780" max="11780" width="17.36328125" style="94" customWidth="1"/>
    <col min="11781" max="11781" width="11.81640625" style="94" customWidth="1"/>
    <col min="11782" max="11783" width="14.6328125" style="94" customWidth="1"/>
    <col min="11784" max="11784" width="9" style="94" customWidth="1"/>
    <col min="11785" max="11785" width="11.81640625" style="94" customWidth="1"/>
    <col min="11786" max="11786" width="4" style="94" customWidth="1"/>
    <col min="11787" max="11787" width="11.81640625" style="94" customWidth="1"/>
    <col min="11788" max="11788" width="4" style="94" customWidth="1"/>
    <col min="11789" max="11789" width="9" style="94" customWidth="1"/>
    <col min="11790" max="11790" width="4" style="94" customWidth="1"/>
    <col min="11791" max="11791" width="13" style="94" customWidth="1"/>
    <col min="11792" max="11792" width="4" style="94" customWidth="1"/>
    <col min="11793" max="11793" width="17.6328125" style="94" customWidth="1"/>
    <col min="11794" max="11794" width="11.81640625" style="94" customWidth="1"/>
    <col min="11795" max="11795" width="8.453125" style="94" customWidth="1"/>
    <col min="11796" max="11796" width="4" style="94" customWidth="1"/>
    <col min="11797" max="11797" width="11.81640625" style="94" customWidth="1"/>
    <col min="11798" max="11798" width="8.453125" style="94" customWidth="1"/>
    <col min="11799" max="11799" width="4" style="94" customWidth="1"/>
    <col min="11800" max="11800" width="11.81640625" style="94" customWidth="1"/>
    <col min="11801" max="11801" width="8.453125" style="94" customWidth="1"/>
    <col min="11802" max="11802" width="4" style="94" customWidth="1"/>
    <col min="11803" max="11803" width="28.453125" style="94" customWidth="1"/>
    <col min="11804" max="11804" width="19.90625" style="94" customWidth="1"/>
    <col min="11805" max="12032" width="10" style="94"/>
    <col min="12033" max="12033" width="11.81640625" style="94" customWidth="1"/>
    <col min="12034" max="12034" width="22.90625" style="94" customWidth="1"/>
    <col min="12035" max="12035" width="26.81640625" style="94" customWidth="1"/>
    <col min="12036" max="12036" width="17.36328125" style="94" customWidth="1"/>
    <col min="12037" max="12037" width="11.81640625" style="94" customWidth="1"/>
    <col min="12038" max="12039" width="14.6328125" style="94" customWidth="1"/>
    <col min="12040" max="12040" width="9" style="94" customWidth="1"/>
    <col min="12041" max="12041" width="11.81640625" style="94" customWidth="1"/>
    <col min="12042" max="12042" width="4" style="94" customWidth="1"/>
    <col min="12043" max="12043" width="11.81640625" style="94" customWidth="1"/>
    <col min="12044" max="12044" width="4" style="94" customWidth="1"/>
    <col min="12045" max="12045" width="9" style="94" customWidth="1"/>
    <col min="12046" max="12046" width="4" style="94" customWidth="1"/>
    <col min="12047" max="12047" width="13" style="94" customWidth="1"/>
    <col min="12048" max="12048" width="4" style="94" customWidth="1"/>
    <col min="12049" max="12049" width="17.6328125" style="94" customWidth="1"/>
    <col min="12050" max="12050" width="11.81640625" style="94" customWidth="1"/>
    <col min="12051" max="12051" width="8.453125" style="94" customWidth="1"/>
    <col min="12052" max="12052" width="4" style="94" customWidth="1"/>
    <col min="12053" max="12053" width="11.81640625" style="94" customWidth="1"/>
    <col min="12054" max="12054" width="8.453125" style="94" customWidth="1"/>
    <col min="12055" max="12055" width="4" style="94" customWidth="1"/>
    <col min="12056" max="12056" width="11.81640625" style="94" customWidth="1"/>
    <col min="12057" max="12057" width="8.453125" style="94" customWidth="1"/>
    <col min="12058" max="12058" width="4" style="94" customWidth="1"/>
    <col min="12059" max="12059" width="28.453125" style="94" customWidth="1"/>
    <col min="12060" max="12060" width="19.90625" style="94" customWidth="1"/>
    <col min="12061" max="12288" width="10" style="94"/>
    <col min="12289" max="12289" width="11.81640625" style="94" customWidth="1"/>
    <col min="12290" max="12290" width="22.90625" style="94" customWidth="1"/>
    <col min="12291" max="12291" width="26.81640625" style="94" customWidth="1"/>
    <col min="12292" max="12292" width="17.36328125" style="94" customWidth="1"/>
    <col min="12293" max="12293" width="11.81640625" style="94" customWidth="1"/>
    <col min="12294" max="12295" width="14.6328125" style="94" customWidth="1"/>
    <col min="12296" max="12296" width="9" style="94" customWidth="1"/>
    <col min="12297" max="12297" width="11.81640625" style="94" customWidth="1"/>
    <col min="12298" max="12298" width="4" style="94" customWidth="1"/>
    <col min="12299" max="12299" width="11.81640625" style="94" customWidth="1"/>
    <col min="12300" max="12300" width="4" style="94" customWidth="1"/>
    <col min="12301" max="12301" width="9" style="94" customWidth="1"/>
    <col min="12302" max="12302" width="4" style="94" customWidth="1"/>
    <col min="12303" max="12303" width="13" style="94" customWidth="1"/>
    <col min="12304" max="12304" width="4" style="94" customWidth="1"/>
    <col min="12305" max="12305" width="17.6328125" style="94" customWidth="1"/>
    <col min="12306" max="12306" width="11.81640625" style="94" customWidth="1"/>
    <col min="12307" max="12307" width="8.453125" style="94" customWidth="1"/>
    <col min="12308" max="12308" width="4" style="94" customWidth="1"/>
    <col min="12309" max="12309" width="11.81640625" style="94" customWidth="1"/>
    <col min="12310" max="12310" width="8.453125" style="94" customWidth="1"/>
    <col min="12311" max="12311" width="4" style="94" customWidth="1"/>
    <col min="12312" max="12312" width="11.81640625" style="94" customWidth="1"/>
    <col min="12313" max="12313" width="8.453125" style="94" customWidth="1"/>
    <col min="12314" max="12314" width="4" style="94" customWidth="1"/>
    <col min="12315" max="12315" width="28.453125" style="94" customWidth="1"/>
    <col min="12316" max="12316" width="19.90625" style="94" customWidth="1"/>
    <col min="12317" max="12544" width="10" style="94"/>
    <col min="12545" max="12545" width="11.81640625" style="94" customWidth="1"/>
    <col min="12546" max="12546" width="22.90625" style="94" customWidth="1"/>
    <col min="12547" max="12547" width="26.81640625" style="94" customWidth="1"/>
    <col min="12548" max="12548" width="17.36328125" style="94" customWidth="1"/>
    <col min="12549" max="12549" width="11.81640625" style="94" customWidth="1"/>
    <col min="12550" max="12551" width="14.6328125" style="94" customWidth="1"/>
    <col min="12552" max="12552" width="9" style="94" customWidth="1"/>
    <col min="12553" max="12553" width="11.81640625" style="94" customWidth="1"/>
    <col min="12554" max="12554" width="4" style="94" customWidth="1"/>
    <col min="12555" max="12555" width="11.81640625" style="94" customWidth="1"/>
    <col min="12556" max="12556" width="4" style="94" customWidth="1"/>
    <col min="12557" max="12557" width="9" style="94" customWidth="1"/>
    <col min="12558" max="12558" width="4" style="94" customWidth="1"/>
    <col min="12559" max="12559" width="13" style="94" customWidth="1"/>
    <col min="12560" max="12560" width="4" style="94" customWidth="1"/>
    <col min="12561" max="12561" width="17.6328125" style="94" customWidth="1"/>
    <col min="12562" max="12562" width="11.81640625" style="94" customWidth="1"/>
    <col min="12563" max="12563" width="8.453125" style="94" customWidth="1"/>
    <col min="12564" max="12564" width="4" style="94" customWidth="1"/>
    <col min="12565" max="12565" width="11.81640625" style="94" customWidth="1"/>
    <col min="12566" max="12566" width="8.453125" style="94" customWidth="1"/>
    <col min="12567" max="12567" width="4" style="94" customWidth="1"/>
    <col min="12568" max="12568" width="11.81640625" style="94" customWidth="1"/>
    <col min="12569" max="12569" width="8.453125" style="94" customWidth="1"/>
    <col min="12570" max="12570" width="4" style="94" customWidth="1"/>
    <col min="12571" max="12571" width="28.453125" style="94" customWidth="1"/>
    <col min="12572" max="12572" width="19.90625" style="94" customWidth="1"/>
    <col min="12573" max="12800" width="10" style="94"/>
    <col min="12801" max="12801" width="11.81640625" style="94" customWidth="1"/>
    <col min="12802" max="12802" width="22.90625" style="94" customWidth="1"/>
    <col min="12803" max="12803" width="26.81640625" style="94" customWidth="1"/>
    <col min="12804" max="12804" width="17.36328125" style="94" customWidth="1"/>
    <col min="12805" max="12805" width="11.81640625" style="94" customWidth="1"/>
    <col min="12806" max="12807" width="14.6328125" style="94" customWidth="1"/>
    <col min="12808" max="12808" width="9" style="94" customWidth="1"/>
    <col min="12809" max="12809" width="11.81640625" style="94" customWidth="1"/>
    <col min="12810" max="12810" width="4" style="94" customWidth="1"/>
    <col min="12811" max="12811" width="11.81640625" style="94" customWidth="1"/>
    <col min="12812" max="12812" width="4" style="94" customWidth="1"/>
    <col min="12813" max="12813" width="9" style="94" customWidth="1"/>
    <col min="12814" max="12814" width="4" style="94" customWidth="1"/>
    <col min="12815" max="12815" width="13" style="94" customWidth="1"/>
    <col min="12816" max="12816" width="4" style="94" customWidth="1"/>
    <col min="12817" max="12817" width="17.6328125" style="94" customWidth="1"/>
    <col min="12818" max="12818" width="11.81640625" style="94" customWidth="1"/>
    <col min="12819" max="12819" width="8.453125" style="94" customWidth="1"/>
    <col min="12820" max="12820" width="4" style="94" customWidth="1"/>
    <col min="12821" max="12821" width="11.81640625" style="94" customWidth="1"/>
    <col min="12822" max="12822" width="8.453125" style="94" customWidth="1"/>
    <col min="12823" max="12823" width="4" style="94" customWidth="1"/>
    <col min="12824" max="12824" width="11.81640625" style="94" customWidth="1"/>
    <col min="12825" max="12825" width="8.453125" style="94" customWidth="1"/>
    <col min="12826" max="12826" width="4" style="94" customWidth="1"/>
    <col min="12827" max="12827" width="28.453125" style="94" customWidth="1"/>
    <col min="12828" max="12828" width="19.90625" style="94" customWidth="1"/>
    <col min="12829" max="13056" width="10" style="94"/>
    <col min="13057" max="13057" width="11.81640625" style="94" customWidth="1"/>
    <col min="13058" max="13058" width="22.90625" style="94" customWidth="1"/>
    <col min="13059" max="13059" width="26.81640625" style="94" customWidth="1"/>
    <col min="13060" max="13060" width="17.36328125" style="94" customWidth="1"/>
    <col min="13061" max="13061" width="11.81640625" style="94" customWidth="1"/>
    <col min="13062" max="13063" width="14.6328125" style="94" customWidth="1"/>
    <col min="13064" max="13064" width="9" style="94" customWidth="1"/>
    <col min="13065" max="13065" width="11.81640625" style="94" customWidth="1"/>
    <col min="13066" max="13066" width="4" style="94" customWidth="1"/>
    <col min="13067" max="13067" width="11.81640625" style="94" customWidth="1"/>
    <col min="13068" max="13068" width="4" style="94" customWidth="1"/>
    <col min="13069" max="13069" width="9" style="94" customWidth="1"/>
    <col min="13070" max="13070" width="4" style="94" customWidth="1"/>
    <col min="13071" max="13071" width="13" style="94" customWidth="1"/>
    <col min="13072" max="13072" width="4" style="94" customWidth="1"/>
    <col min="13073" max="13073" width="17.6328125" style="94" customWidth="1"/>
    <col min="13074" max="13074" width="11.81640625" style="94" customWidth="1"/>
    <col min="13075" max="13075" width="8.453125" style="94" customWidth="1"/>
    <col min="13076" max="13076" width="4" style="94" customWidth="1"/>
    <col min="13077" max="13077" width="11.81640625" style="94" customWidth="1"/>
    <col min="13078" max="13078" width="8.453125" style="94" customWidth="1"/>
    <col min="13079" max="13079" width="4" style="94" customWidth="1"/>
    <col min="13080" max="13080" width="11.81640625" style="94" customWidth="1"/>
    <col min="13081" max="13081" width="8.453125" style="94" customWidth="1"/>
    <col min="13082" max="13082" width="4" style="94" customWidth="1"/>
    <col min="13083" max="13083" width="28.453125" style="94" customWidth="1"/>
    <col min="13084" max="13084" width="19.90625" style="94" customWidth="1"/>
    <col min="13085" max="13312" width="10" style="94"/>
    <col min="13313" max="13313" width="11.81640625" style="94" customWidth="1"/>
    <col min="13314" max="13314" width="22.90625" style="94" customWidth="1"/>
    <col min="13315" max="13315" width="26.81640625" style="94" customWidth="1"/>
    <col min="13316" max="13316" width="17.36328125" style="94" customWidth="1"/>
    <col min="13317" max="13317" width="11.81640625" style="94" customWidth="1"/>
    <col min="13318" max="13319" width="14.6328125" style="94" customWidth="1"/>
    <col min="13320" max="13320" width="9" style="94" customWidth="1"/>
    <col min="13321" max="13321" width="11.81640625" style="94" customWidth="1"/>
    <col min="13322" max="13322" width="4" style="94" customWidth="1"/>
    <col min="13323" max="13323" width="11.81640625" style="94" customWidth="1"/>
    <col min="13324" max="13324" width="4" style="94" customWidth="1"/>
    <col min="13325" max="13325" width="9" style="94" customWidth="1"/>
    <col min="13326" max="13326" width="4" style="94" customWidth="1"/>
    <col min="13327" max="13327" width="13" style="94" customWidth="1"/>
    <col min="13328" max="13328" width="4" style="94" customWidth="1"/>
    <col min="13329" max="13329" width="17.6328125" style="94" customWidth="1"/>
    <col min="13330" max="13330" width="11.81640625" style="94" customWidth="1"/>
    <col min="13331" max="13331" width="8.453125" style="94" customWidth="1"/>
    <col min="13332" max="13332" width="4" style="94" customWidth="1"/>
    <col min="13333" max="13333" width="11.81640625" style="94" customWidth="1"/>
    <col min="13334" max="13334" width="8.453125" style="94" customWidth="1"/>
    <col min="13335" max="13335" width="4" style="94" customWidth="1"/>
    <col min="13336" max="13336" width="11.81640625" style="94" customWidth="1"/>
    <col min="13337" max="13337" width="8.453125" style="94" customWidth="1"/>
    <col min="13338" max="13338" width="4" style="94" customWidth="1"/>
    <col min="13339" max="13339" width="28.453125" style="94" customWidth="1"/>
    <col min="13340" max="13340" width="19.90625" style="94" customWidth="1"/>
    <col min="13341" max="13568" width="10" style="94"/>
    <col min="13569" max="13569" width="11.81640625" style="94" customWidth="1"/>
    <col min="13570" max="13570" width="22.90625" style="94" customWidth="1"/>
    <col min="13571" max="13571" width="26.81640625" style="94" customWidth="1"/>
    <col min="13572" max="13572" width="17.36328125" style="94" customWidth="1"/>
    <col min="13573" max="13573" width="11.81640625" style="94" customWidth="1"/>
    <col min="13574" max="13575" width="14.6328125" style="94" customWidth="1"/>
    <col min="13576" max="13576" width="9" style="94" customWidth="1"/>
    <col min="13577" max="13577" width="11.81640625" style="94" customWidth="1"/>
    <col min="13578" max="13578" width="4" style="94" customWidth="1"/>
    <col min="13579" max="13579" width="11.81640625" style="94" customWidth="1"/>
    <col min="13580" max="13580" width="4" style="94" customWidth="1"/>
    <col min="13581" max="13581" width="9" style="94" customWidth="1"/>
    <col min="13582" max="13582" width="4" style="94" customWidth="1"/>
    <col min="13583" max="13583" width="13" style="94" customWidth="1"/>
    <col min="13584" max="13584" width="4" style="94" customWidth="1"/>
    <col min="13585" max="13585" width="17.6328125" style="94" customWidth="1"/>
    <col min="13586" max="13586" width="11.81640625" style="94" customWidth="1"/>
    <col min="13587" max="13587" width="8.453125" style="94" customWidth="1"/>
    <col min="13588" max="13588" width="4" style="94" customWidth="1"/>
    <col min="13589" max="13589" width="11.81640625" style="94" customWidth="1"/>
    <col min="13590" max="13590" width="8.453125" style="94" customWidth="1"/>
    <col min="13591" max="13591" width="4" style="94" customWidth="1"/>
    <col min="13592" max="13592" width="11.81640625" style="94" customWidth="1"/>
    <col min="13593" max="13593" width="8.453125" style="94" customWidth="1"/>
    <col min="13594" max="13594" width="4" style="94" customWidth="1"/>
    <col min="13595" max="13595" width="28.453125" style="94" customWidth="1"/>
    <col min="13596" max="13596" width="19.90625" style="94" customWidth="1"/>
    <col min="13597" max="13824" width="10" style="94"/>
    <col min="13825" max="13825" width="11.81640625" style="94" customWidth="1"/>
    <col min="13826" max="13826" width="22.90625" style="94" customWidth="1"/>
    <col min="13827" max="13827" width="26.81640625" style="94" customWidth="1"/>
    <col min="13828" max="13828" width="17.36328125" style="94" customWidth="1"/>
    <col min="13829" max="13829" width="11.81640625" style="94" customWidth="1"/>
    <col min="13830" max="13831" width="14.6328125" style="94" customWidth="1"/>
    <col min="13832" max="13832" width="9" style="94" customWidth="1"/>
    <col min="13833" max="13833" width="11.81640625" style="94" customWidth="1"/>
    <col min="13834" max="13834" width="4" style="94" customWidth="1"/>
    <col min="13835" max="13835" width="11.81640625" style="94" customWidth="1"/>
    <col min="13836" max="13836" width="4" style="94" customWidth="1"/>
    <col min="13837" max="13837" width="9" style="94" customWidth="1"/>
    <col min="13838" max="13838" width="4" style="94" customWidth="1"/>
    <col min="13839" max="13839" width="13" style="94" customWidth="1"/>
    <col min="13840" max="13840" width="4" style="94" customWidth="1"/>
    <col min="13841" max="13841" width="17.6328125" style="94" customWidth="1"/>
    <col min="13842" max="13842" width="11.81640625" style="94" customWidth="1"/>
    <col min="13843" max="13843" width="8.453125" style="94" customWidth="1"/>
    <col min="13844" max="13844" width="4" style="94" customWidth="1"/>
    <col min="13845" max="13845" width="11.81640625" style="94" customWidth="1"/>
    <col min="13846" max="13846" width="8.453125" style="94" customWidth="1"/>
    <col min="13847" max="13847" width="4" style="94" customWidth="1"/>
    <col min="13848" max="13848" width="11.81640625" style="94" customWidth="1"/>
    <col min="13849" max="13849" width="8.453125" style="94" customWidth="1"/>
    <col min="13850" max="13850" width="4" style="94" customWidth="1"/>
    <col min="13851" max="13851" width="28.453125" style="94" customWidth="1"/>
    <col min="13852" max="13852" width="19.90625" style="94" customWidth="1"/>
    <col min="13853" max="14080" width="10" style="94"/>
    <col min="14081" max="14081" width="11.81640625" style="94" customWidth="1"/>
    <col min="14082" max="14082" width="22.90625" style="94" customWidth="1"/>
    <col min="14083" max="14083" width="26.81640625" style="94" customWidth="1"/>
    <col min="14084" max="14084" width="17.36328125" style="94" customWidth="1"/>
    <col min="14085" max="14085" width="11.81640625" style="94" customWidth="1"/>
    <col min="14086" max="14087" width="14.6328125" style="94" customWidth="1"/>
    <col min="14088" max="14088" width="9" style="94" customWidth="1"/>
    <col min="14089" max="14089" width="11.81640625" style="94" customWidth="1"/>
    <col min="14090" max="14090" width="4" style="94" customWidth="1"/>
    <col min="14091" max="14091" width="11.81640625" style="94" customWidth="1"/>
    <col min="14092" max="14092" width="4" style="94" customWidth="1"/>
    <col min="14093" max="14093" width="9" style="94" customWidth="1"/>
    <col min="14094" max="14094" width="4" style="94" customWidth="1"/>
    <col min="14095" max="14095" width="13" style="94" customWidth="1"/>
    <col min="14096" max="14096" width="4" style="94" customWidth="1"/>
    <col min="14097" max="14097" width="17.6328125" style="94" customWidth="1"/>
    <col min="14098" max="14098" width="11.81640625" style="94" customWidth="1"/>
    <col min="14099" max="14099" width="8.453125" style="94" customWidth="1"/>
    <col min="14100" max="14100" width="4" style="94" customWidth="1"/>
    <col min="14101" max="14101" width="11.81640625" style="94" customWidth="1"/>
    <col min="14102" max="14102" width="8.453125" style="94" customWidth="1"/>
    <col min="14103" max="14103" width="4" style="94" customWidth="1"/>
    <col min="14104" max="14104" width="11.81640625" style="94" customWidth="1"/>
    <col min="14105" max="14105" width="8.453125" style="94" customWidth="1"/>
    <col min="14106" max="14106" width="4" style="94" customWidth="1"/>
    <col min="14107" max="14107" width="28.453125" style="94" customWidth="1"/>
    <col min="14108" max="14108" width="19.90625" style="94" customWidth="1"/>
    <col min="14109" max="14336" width="10" style="94"/>
    <col min="14337" max="14337" width="11.81640625" style="94" customWidth="1"/>
    <col min="14338" max="14338" width="22.90625" style="94" customWidth="1"/>
    <col min="14339" max="14339" width="26.81640625" style="94" customWidth="1"/>
    <col min="14340" max="14340" width="17.36328125" style="94" customWidth="1"/>
    <col min="14341" max="14341" width="11.81640625" style="94" customWidth="1"/>
    <col min="14342" max="14343" width="14.6328125" style="94" customWidth="1"/>
    <col min="14344" max="14344" width="9" style="94" customWidth="1"/>
    <col min="14345" max="14345" width="11.81640625" style="94" customWidth="1"/>
    <col min="14346" max="14346" width="4" style="94" customWidth="1"/>
    <col min="14347" max="14347" width="11.81640625" style="94" customWidth="1"/>
    <col min="14348" max="14348" width="4" style="94" customWidth="1"/>
    <col min="14349" max="14349" width="9" style="94" customWidth="1"/>
    <col min="14350" max="14350" width="4" style="94" customWidth="1"/>
    <col min="14351" max="14351" width="13" style="94" customWidth="1"/>
    <col min="14352" max="14352" width="4" style="94" customWidth="1"/>
    <col min="14353" max="14353" width="17.6328125" style="94" customWidth="1"/>
    <col min="14354" max="14354" width="11.81640625" style="94" customWidth="1"/>
    <col min="14355" max="14355" width="8.453125" style="94" customWidth="1"/>
    <col min="14356" max="14356" width="4" style="94" customWidth="1"/>
    <col min="14357" max="14357" width="11.81640625" style="94" customWidth="1"/>
    <col min="14358" max="14358" width="8.453125" style="94" customWidth="1"/>
    <col min="14359" max="14359" width="4" style="94" customWidth="1"/>
    <col min="14360" max="14360" width="11.81640625" style="94" customWidth="1"/>
    <col min="14361" max="14361" width="8.453125" style="94" customWidth="1"/>
    <col min="14362" max="14362" width="4" style="94" customWidth="1"/>
    <col min="14363" max="14363" width="28.453125" style="94" customWidth="1"/>
    <col min="14364" max="14364" width="19.90625" style="94" customWidth="1"/>
    <col min="14365" max="14592" width="10" style="94"/>
    <col min="14593" max="14593" width="11.81640625" style="94" customWidth="1"/>
    <col min="14594" max="14594" width="22.90625" style="94" customWidth="1"/>
    <col min="14595" max="14595" width="26.81640625" style="94" customWidth="1"/>
    <col min="14596" max="14596" width="17.36328125" style="94" customWidth="1"/>
    <col min="14597" max="14597" width="11.81640625" style="94" customWidth="1"/>
    <col min="14598" max="14599" width="14.6328125" style="94" customWidth="1"/>
    <col min="14600" max="14600" width="9" style="94" customWidth="1"/>
    <col min="14601" max="14601" width="11.81640625" style="94" customWidth="1"/>
    <col min="14602" max="14602" width="4" style="94" customWidth="1"/>
    <col min="14603" max="14603" width="11.81640625" style="94" customWidth="1"/>
    <col min="14604" max="14604" width="4" style="94" customWidth="1"/>
    <col min="14605" max="14605" width="9" style="94" customWidth="1"/>
    <col min="14606" max="14606" width="4" style="94" customWidth="1"/>
    <col min="14607" max="14607" width="13" style="94" customWidth="1"/>
    <col min="14608" max="14608" width="4" style="94" customWidth="1"/>
    <col min="14609" max="14609" width="17.6328125" style="94" customWidth="1"/>
    <col min="14610" max="14610" width="11.81640625" style="94" customWidth="1"/>
    <col min="14611" max="14611" width="8.453125" style="94" customWidth="1"/>
    <col min="14612" max="14612" width="4" style="94" customWidth="1"/>
    <col min="14613" max="14613" width="11.81640625" style="94" customWidth="1"/>
    <col min="14614" max="14614" width="8.453125" style="94" customWidth="1"/>
    <col min="14615" max="14615" width="4" style="94" customWidth="1"/>
    <col min="14616" max="14616" width="11.81640625" style="94" customWidth="1"/>
    <col min="14617" max="14617" width="8.453125" style="94" customWidth="1"/>
    <col min="14618" max="14618" width="4" style="94" customWidth="1"/>
    <col min="14619" max="14619" width="28.453125" style="94" customWidth="1"/>
    <col min="14620" max="14620" width="19.90625" style="94" customWidth="1"/>
    <col min="14621" max="14848" width="10" style="94"/>
    <col min="14849" max="14849" width="11.81640625" style="94" customWidth="1"/>
    <col min="14850" max="14850" width="22.90625" style="94" customWidth="1"/>
    <col min="14851" max="14851" width="26.81640625" style="94" customWidth="1"/>
    <col min="14852" max="14852" width="17.36328125" style="94" customWidth="1"/>
    <col min="14853" max="14853" width="11.81640625" style="94" customWidth="1"/>
    <col min="14854" max="14855" width="14.6328125" style="94" customWidth="1"/>
    <col min="14856" max="14856" width="9" style="94" customWidth="1"/>
    <col min="14857" max="14857" width="11.81640625" style="94" customWidth="1"/>
    <col min="14858" max="14858" width="4" style="94" customWidth="1"/>
    <col min="14859" max="14859" width="11.81640625" style="94" customWidth="1"/>
    <col min="14860" max="14860" width="4" style="94" customWidth="1"/>
    <col min="14861" max="14861" width="9" style="94" customWidth="1"/>
    <col min="14862" max="14862" width="4" style="94" customWidth="1"/>
    <col min="14863" max="14863" width="13" style="94" customWidth="1"/>
    <col min="14864" max="14864" width="4" style="94" customWidth="1"/>
    <col min="14865" max="14865" width="17.6328125" style="94" customWidth="1"/>
    <col min="14866" max="14866" width="11.81640625" style="94" customWidth="1"/>
    <col min="14867" max="14867" width="8.453125" style="94" customWidth="1"/>
    <col min="14868" max="14868" width="4" style="94" customWidth="1"/>
    <col min="14869" max="14869" width="11.81640625" style="94" customWidth="1"/>
    <col min="14870" max="14870" width="8.453125" style="94" customWidth="1"/>
    <col min="14871" max="14871" width="4" style="94" customWidth="1"/>
    <col min="14872" max="14872" width="11.81640625" style="94" customWidth="1"/>
    <col min="14873" max="14873" width="8.453125" style="94" customWidth="1"/>
    <col min="14874" max="14874" width="4" style="94" customWidth="1"/>
    <col min="14875" max="14875" width="28.453125" style="94" customWidth="1"/>
    <col min="14876" max="14876" width="19.90625" style="94" customWidth="1"/>
    <col min="14877" max="15104" width="10" style="94"/>
    <col min="15105" max="15105" width="11.81640625" style="94" customWidth="1"/>
    <col min="15106" max="15106" width="22.90625" style="94" customWidth="1"/>
    <col min="15107" max="15107" width="26.81640625" style="94" customWidth="1"/>
    <col min="15108" max="15108" width="17.36328125" style="94" customWidth="1"/>
    <col min="15109" max="15109" width="11.81640625" style="94" customWidth="1"/>
    <col min="15110" max="15111" width="14.6328125" style="94" customWidth="1"/>
    <col min="15112" max="15112" width="9" style="94" customWidth="1"/>
    <col min="15113" max="15113" width="11.81640625" style="94" customWidth="1"/>
    <col min="15114" max="15114" width="4" style="94" customWidth="1"/>
    <col min="15115" max="15115" width="11.81640625" style="94" customWidth="1"/>
    <col min="15116" max="15116" width="4" style="94" customWidth="1"/>
    <col min="15117" max="15117" width="9" style="94" customWidth="1"/>
    <col min="15118" max="15118" width="4" style="94" customWidth="1"/>
    <col min="15119" max="15119" width="13" style="94" customWidth="1"/>
    <col min="15120" max="15120" width="4" style="94" customWidth="1"/>
    <col min="15121" max="15121" width="17.6328125" style="94" customWidth="1"/>
    <col min="15122" max="15122" width="11.81640625" style="94" customWidth="1"/>
    <col min="15123" max="15123" width="8.453125" style="94" customWidth="1"/>
    <col min="15124" max="15124" width="4" style="94" customWidth="1"/>
    <col min="15125" max="15125" width="11.81640625" style="94" customWidth="1"/>
    <col min="15126" max="15126" width="8.453125" style="94" customWidth="1"/>
    <col min="15127" max="15127" width="4" style="94" customWidth="1"/>
    <col min="15128" max="15128" width="11.81640625" style="94" customWidth="1"/>
    <col min="15129" max="15129" width="8.453125" style="94" customWidth="1"/>
    <col min="15130" max="15130" width="4" style="94" customWidth="1"/>
    <col min="15131" max="15131" width="28.453125" style="94" customWidth="1"/>
    <col min="15132" max="15132" width="19.90625" style="94" customWidth="1"/>
    <col min="15133" max="15360" width="10" style="94"/>
    <col min="15361" max="15361" width="11.81640625" style="94" customWidth="1"/>
    <col min="15362" max="15362" width="22.90625" style="94" customWidth="1"/>
    <col min="15363" max="15363" width="26.81640625" style="94" customWidth="1"/>
    <col min="15364" max="15364" width="17.36328125" style="94" customWidth="1"/>
    <col min="15365" max="15365" width="11.81640625" style="94" customWidth="1"/>
    <col min="15366" max="15367" width="14.6328125" style="94" customWidth="1"/>
    <col min="15368" max="15368" width="9" style="94" customWidth="1"/>
    <col min="15369" max="15369" width="11.81640625" style="94" customWidth="1"/>
    <col min="15370" max="15370" width="4" style="94" customWidth="1"/>
    <col min="15371" max="15371" width="11.81640625" style="94" customWidth="1"/>
    <col min="15372" max="15372" width="4" style="94" customWidth="1"/>
    <col min="15373" max="15373" width="9" style="94" customWidth="1"/>
    <col min="15374" max="15374" width="4" style="94" customWidth="1"/>
    <col min="15375" max="15375" width="13" style="94" customWidth="1"/>
    <col min="15376" max="15376" width="4" style="94" customWidth="1"/>
    <col min="15377" max="15377" width="17.6328125" style="94" customWidth="1"/>
    <col min="15378" max="15378" width="11.81640625" style="94" customWidth="1"/>
    <col min="15379" max="15379" width="8.453125" style="94" customWidth="1"/>
    <col min="15380" max="15380" width="4" style="94" customWidth="1"/>
    <col min="15381" max="15381" width="11.81640625" style="94" customWidth="1"/>
    <col min="15382" max="15382" width="8.453125" style="94" customWidth="1"/>
    <col min="15383" max="15383" width="4" style="94" customWidth="1"/>
    <col min="15384" max="15384" width="11.81640625" style="94" customWidth="1"/>
    <col min="15385" max="15385" width="8.453125" style="94" customWidth="1"/>
    <col min="15386" max="15386" width="4" style="94" customWidth="1"/>
    <col min="15387" max="15387" width="28.453125" style="94" customWidth="1"/>
    <col min="15388" max="15388" width="19.90625" style="94" customWidth="1"/>
    <col min="15389" max="15616" width="10" style="94"/>
    <col min="15617" max="15617" width="11.81640625" style="94" customWidth="1"/>
    <col min="15618" max="15618" width="22.90625" style="94" customWidth="1"/>
    <col min="15619" max="15619" width="26.81640625" style="94" customWidth="1"/>
    <col min="15620" max="15620" width="17.36328125" style="94" customWidth="1"/>
    <col min="15621" max="15621" width="11.81640625" style="94" customWidth="1"/>
    <col min="15622" max="15623" width="14.6328125" style="94" customWidth="1"/>
    <col min="15624" max="15624" width="9" style="94" customWidth="1"/>
    <col min="15625" max="15625" width="11.81640625" style="94" customWidth="1"/>
    <col min="15626" max="15626" width="4" style="94" customWidth="1"/>
    <col min="15627" max="15627" width="11.81640625" style="94" customWidth="1"/>
    <col min="15628" max="15628" width="4" style="94" customWidth="1"/>
    <col min="15629" max="15629" width="9" style="94" customWidth="1"/>
    <col min="15630" max="15630" width="4" style="94" customWidth="1"/>
    <col min="15631" max="15631" width="13" style="94" customWidth="1"/>
    <col min="15632" max="15632" width="4" style="94" customWidth="1"/>
    <col min="15633" max="15633" width="17.6328125" style="94" customWidth="1"/>
    <col min="15634" max="15634" width="11.81640625" style="94" customWidth="1"/>
    <col min="15635" max="15635" width="8.453125" style="94" customWidth="1"/>
    <col min="15636" max="15636" width="4" style="94" customWidth="1"/>
    <col min="15637" max="15637" width="11.81640625" style="94" customWidth="1"/>
    <col min="15638" max="15638" width="8.453125" style="94" customWidth="1"/>
    <col min="15639" max="15639" width="4" style="94" customWidth="1"/>
    <col min="15640" max="15640" width="11.81640625" style="94" customWidth="1"/>
    <col min="15641" max="15641" width="8.453125" style="94" customWidth="1"/>
    <col min="15642" max="15642" width="4" style="94" customWidth="1"/>
    <col min="15643" max="15643" width="28.453125" style="94" customWidth="1"/>
    <col min="15644" max="15644" width="19.90625" style="94" customWidth="1"/>
    <col min="15645" max="15872" width="10" style="94"/>
    <col min="15873" max="15873" width="11.81640625" style="94" customWidth="1"/>
    <col min="15874" max="15874" width="22.90625" style="94" customWidth="1"/>
    <col min="15875" max="15875" width="26.81640625" style="94" customWidth="1"/>
    <col min="15876" max="15876" width="17.36328125" style="94" customWidth="1"/>
    <col min="15877" max="15877" width="11.81640625" style="94" customWidth="1"/>
    <col min="15878" max="15879" width="14.6328125" style="94" customWidth="1"/>
    <col min="15880" max="15880" width="9" style="94" customWidth="1"/>
    <col min="15881" max="15881" width="11.81640625" style="94" customWidth="1"/>
    <col min="15882" max="15882" width="4" style="94" customWidth="1"/>
    <col min="15883" max="15883" width="11.81640625" style="94" customWidth="1"/>
    <col min="15884" max="15884" width="4" style="94" customWidth="1"/>
    <col min="15885" max="15885" width="9" style="94" customWidth="1"/>
    <col min="15886" max="15886" width="4" style="94" customWidth="1"/>
    <col min="15887" max="15887" width="13" style="94" customWidth="1"/>
    <col min="15888" max="15888" width="4" style="94" customWidth="1"/>
    <col min="15889" max="15889" width="17.6328125" style="94" customWidth="1"/>
    <col min="15890" max="15890" width="11.81640625" style="94" customWidth="1"/>
    <col min="15891" max="15891" width="8.453125" style="94" customWidth="1"/>
    <col min="15892" max="15892" width="4" style="94" customWidth="1"/>
    <col min="15893" max="15893" width="11.81640625" style="94" customWidth="1"/>
    <col min="15894" max="15894" width="8.453125" style="94" customWidth="1"/>
    <col min="15895" max="15895" width="4" style="94" customWidth="1"/>
    <col min="15896" max="15896" width="11.81640625" style="94" customWidth="1"/>
    <col min="15897" max="15897" width="8.453125" style="94" customWidth="1"/>
    <col min="15898" max="15898" width="4" style="94" customWidth="1"/>
    <col min="15899" max="15899" width="28.453125" style="94" customWidth="1"/>
    <col min="15900" max="15900" width="19.90625" style="94" customWidth="1"/>
    <col min="15901" max="16128" width="10" style="94"/>
    <col min="16129" max="16129" width="11.81640625" style="94" customWidth="1"/>
    <col min="16130" max="16130" width="22.90625" style="94" customWidth="1"/>
    <col min="16131" max="16131" width="26.81640625" style="94" customWidth="1"/>
    <col min="16132" max="16132" width="17.36328125" style="94" customWidth="1"/>
    <col min="16133" max="16133" width="11.81640625" style="94" customWidth="1"/>
    <col min="16134" max="16135" width="14.6328125" style="94" customWidth="1"/>
    <col min="16136" max="16136" width="9" style="94" customWidth="1"/>
    <col min="16137" max="16137" width="11.81640625" style="94" customWidth="1"/>
    <col min="16138" max="16138" width="4" style="94" customWidth="1"/>
    <col min="16139" max="16139" width="11.81640625" style="94" customWidth="1"/>
    <col min="16140" max="16140" width="4" style="94" customWidth="1"/>
    <col min="16141" max="16141" width="9" style="94" customWidth="1"/>
    <col min="16142" max="16142" width="4" style="94" customWidth="1"/>
    <col min="16143" max="16143" width="13" style="94" customWidth="1"/>
    <col min="16144" max="16144" width="4" style="94" customWidth="1"/>
    <col min="16145" max="16145" width="17.6328125" style="94" customWidth="1"/>
    <col min="16146" max="16146" width="11.81640625" style="94" customWidth="1"/>
    <col min="16147" max="16147" width="8.453125" style="94" customWidth="1"/>
    <col min="16148" max="16148" width="4" style="94" customWidth="1"/>
    <col min="16149" max="16149" width="11.81640625" style="94" customWidth="1"/>
    <col min="16150" max="16150" width="8.453125" style="94" customWidth="1"/>
    <col min="16151" max="16151" width="4" style="94" customWidth="1"/>
    <col min="16152" max="16152" width="11.81640625" style="94" customWidth="1"/>
    <col min="16153" max="16153" width="8.453125" style="94" customWidth="1"/>
    <col min="16154" max="16154" width="4" style="94" customWidth="1"/>
    <col min="16155" max="16155" width="28.453125" style="94" customWidth="1"/>
    <col min="16156" max="16156" width="19.90625" style="94" customWidth="1"/>
    <col min="16157" max="16384" width="10" style="94"/>
  </cols>
  <sheetData>
    <row r="1" spans="1:29" s="53" customFormat="1" ht="75" customHeight="1">
      <c r="A1" s="156"/>
      <c r="B1" s="157"/>
      <c r="C1" s="157"/>
      <c r="D1" s="158"/>
      <c r="E1" s="47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9"/>
      <c r="S1" s="48"/>
      <c r="T1" s="48"/>
      <c r="U1" s="48"/>
      <c r="V1" s="48"/>
      <c r="W1" s="48"/>
      <c r="X1" s="50"/>
      <c r="Y1" s="51"/>
      <c r="Z1" s="51"/>
      <c r="AA1" s="52"/>
    </row>
    <row r="2" spans="1:29" s="53" customFormat="1" ht="24.9" customHeight="1">
      <c r="A2" s="54" t="s">
        <v>89</v>
      </c>
      <c r="B2" s="55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159" t="s">
        <v>90</v>
      </c>
      <c r="P2" s="160"/>
      <c r="Q2" s="160"/>
      <c r="R2" s="161"/>
      <c r="S2" s="162"/>
      <c r="T2" s="159" t="s">
        <v>91</v>
      </c>
      <c r="U2" s="160"/>
      <c r="V2" s="160"/>
      <c r="W2" s="160"/>
      <c r="X2" s="165" t="s">
        <v>92</v>
      </c>
      <c r="Y2" s="166"/>
      <c r="Z2" s="167"/>
      <c r="AA2" s="168" t="s">
        <v>93</v>
      </c>
    </row>
    <row r="3" spans="1:29" s="53" customFormat="1" ht="24.9" customHeight="1">
      <c r="A3" s="54" t="s">
        <v>94</v>
      </c>
      <c r="B3" s="55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159"/>
      <c r="P3" s="160"/>
      <c r="Q3" s="160"/>
      <c r="R3" s="163"/>
      <c r="S3" s="164"/>
      <c r="T3" s="170" t="s">
        <v>95</v>
      </c>
      <c r="U3" s="171"/>
      <c r="V3" s="171"/>
      <c r="W3" s="171"/>
      <c r="X3" s="172" t="s">
        <v>96</v>
      </c>
      <c r="Y3" s="173"/>
      <c r="Z3" s="174"/>
      <c r="AA3" s="169"/>
    </row>
    <row r="4" spans="1:29" s="57" customFormat="1" ht="24.9" customHeight="1">
      <c r="A4" s="175" t="s">
        <v>97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7"/>
    </row>
    <row r="5" spans="1:29" s="57" customFormat="1" ht="24.9" customHeight="1">
      <c r="A5" s="178" t="s">
        <v>84</v>
      </c>
      <c r="B5" s="181" t="s">
        <v>98</v>
      </c>
      <c r="C5" s="182"/>
      <c r="D5" s="182"/>
      <c r="E5" s="182"/>
      <c r="F5" s="182"/>
      <c r="G5" s="182"/>
      <c r="H5" s="182"/>
      <c r="I5" s="183" t="s">
        <v>99</v>
      </c>
      <c r="J5" s="184"/>
      <c r="K5" s="183" t="s">
        <v>100</v>
      </c>
      <c r="L5" s="184"/>
      <c r="M5" s="183" t="s">
        <v>101</v>
      </c>
      <c r="N5" s="184"/>
      <c r="O5" s="183" t="s">
        <v>102</v>
      </c>
      <c r="P5" s="184"/>
      <c r="Q5" s="187" t="s">
        <v>103</v>
      </c>
      <c r="R5" s="189" t="s">
        <v>104</v>
      </c>
      <c r="S5" s="190"/>
      <c r="T5" s="190"/>
      <c r="U5" s="190"/>
      <c r="V5" s="190"/>
      <c r="W5" s="190"/>
      <c r="X5" s="190"/>
      <c r="Y5" s="190"/>
      <c r="Z5" s="191"/>
      <c r="AA5" s="192" t="s">
        <v>3</v>
      </c>
      <c r="AB5" s="189" t="s">
        <v>105</v>
      </c>
      <c r="AC5" s="59"/>
    </row>
    <row r="6" spans="1:29" s="63" customFormat="1" ht="24.9" customHeight="1">
      <c r="A6" s="179"/>
      <c r="B6" s="189" t="s">
        <v>106</v>
      </c>
      <c r="C6" s="191"/>
      <c r="D6" s="189" t="s">
        <v>107</v>
      </c>
      <c r="E6" s="190"/>
      <c r="F6" s="191"/>
      <c r="G6" s="58"/>
      <c r="H6" s="192" t="s">
        <v>108</v>
      </c>
      <c r="I6" s="185"/>
      <c r="J6" s="186"/>
      <c r="K6" s="185"/>
      <c r="L6" s="186"/>
      <c r="M6" s="185"/>
      <c r="N6" s="186"/>
      <c r="O6" s="185"/>
      <c r="P6" s="186"/>
      <c r="Q6" s="188"/>
      <c r="R6" s="203" t="s">
        <v>109</v>
      </c>
      <c r="S6" s="204"/>
      <c r="T6" s="204"/>
      <c r="U6" s="205"/>
      <c r="V6" s="206" t="s">
        <v>110</v>
      </c>
      <c r="W6" s="206"/>
      <c r="X6" s="206"/>
      <c r="Y6" s="206"/>
      <c r="Z6" s="206"/>
      <c r="AA6" s="193"/>
      <c r="AB6" s="197"/>
      <c r="AC6" s="62"/>
    </row>
    <row r="7" spans="1:29" s="63" customFormat="1" ht="20.149999999999999" customHeight="1">
      <c r="A7" s="179"/>
      <c r="B7" s="197"/>
      <c r="C7" s="199"/>
      <c r="D7" s="197"/>
      <c r="E7" s="201"/>
      <c r="F7" s="199"/>
      <c r="G7" s="64" t="s">
        <v>111</v>
      </c>
      <c r="H7" s="193"/>
      <c r="I7" s="185"/>
      <c r="J7" s="186"/>
      <c r="K7" s="185"/>
      <c r="L7" s="186"/>
      <c r="M7" s="185"/>
      <c r="N7" s="186"/>
      <c r="O7" s="185"/>
      <c r="P7" s="186"/>
      <c r="Q7" s="188"/>
      <c r="R7" s="183" t="s">
        <v>112</v>
      </c>
      <c r="S7" s="207"/>
      <c r="T7" s="60"/>
      <c r="U7" s="206" t="s">
        <v>113</v>
      </c>
      <c r="V7" s="203"/>
      <c r="W7" s="60"/>
      <c r="X7" s="206" t="s">
        <v>114</v>
      </c>
      <c r="Y7" s="203"/>
      <c r="Z7" s="61"/>
      <c r="AA7" s="193"/>
      <c r="AB7" s="197"/>
      <c r="AC7" s="62"/>
    </row>
    <row r="8" spans="1:29" s="63" customFormat="1" ht="20.149999999999999" customHeight="1">
      <c r="A8" s="179"/>
      <c r="B8" s="197"/>
      <c r="C8" s="199"/>
      <c r="D8" s="197"/>
      <c r="E8" s="201"/>
      <c r="F8" s="199"/>
      <c r="G8" s="64"/>
      <c r="H8" s="194"/>
      <c r="I8" s="65"/>
      <c r="J8" s="66" t="s">
        <v>115</v>
      </c>
      <c r="K8" s="67"/>
      <c r="L8" s="66" t="s">
        <v>116</v>
      </c>
      <c r="M8" s="67"/>
      <c r="N8" s="66" t="s">
        <v>1</v>
      </c>
      <c r="O8" s="67"/>
      <c r="P8" s="66" t="s">
        <v>117</v>
      </c>
      <c r="Q8" s="67"/>
      <c r="R8" s="208"/>
      <c r="S8" s="209"/>
      <c r="T8" s="68" t="s">
        <v>118</v>
      </c>
      <c r="U8" s="206"/>
      <c r="V8" s="206"/>
      <c r="W8" s="68" t="s">
        <v>119</v>
      </c>
      <c r="X8" s="206"/>
      <c r="Y8" s="206"/>
      <c r="Z8" s="68" t="s">
        <v>120</v>
      </c>
      <c r="AA8" s="193"/>
      <c r="AB8" s="197"/>
      <c r="AC8" s="62"/>
    </row>
    <row r="9" spans="1:29" s="63" customFormat="1" ht="24.9" customHeight="1">
      <c r="A9" s="180"/>
      <c r="B9" s="198"/>
      <c r="C9" s="200"/>
      <c r="D9" s="198"/>
      <c r="E9" s="202"/>
      <c r="F9" s="200"/>
      <c r="G9" s="69" t="s">
        <v>121</v>
      </c>
      <c r="H9" s="70" t="s">
        <v>122</v>
      </c>
      <c r="I9" s="195" t="s">
        <v>123</v>
      </c>
      <c r="J9" s="196"/>
      <c r="K9" s="195" t="s">
        <v>123</v>
      </c>
      <c r="L9" s="196"/>
      <c r="M9" s="195" t="s">
        <v>124</v>
      </c>
      <c r="N9" s="196"/>
      <c r="O9" s="195" t="s">
        <v>125</v>
      </c>
      <c r="P9" s="196"/>
      <c r="Q9" s="71" t="s">
        <v>124</v>
      </c>
      <c r="R9" s="71" t="s">
        <v>123</v>
      </c>
      <c r="S9" s="195" t="s">
        <v>126</v>
      </c>
      <c r="T9" s="196"/>
      <c r="U9" s="71" t="s">
        <v>123</v>
      </c>
      <c r="V9" s="195" t="s">
        <v>126</v>
      </c>
      <c r="W9" s="196"/>
      <c r="X9" s="71" t="s">
        <v>123</v>
      </c>
      <c r="Y9" s="195" t="s">
        <v>126</v>
      </c>
      <c r="Z9" s="196"/>
      <c r="AA9" s="194"/>
      <c r="AB9" s="198"/>
      <c r="AC9" s="72"/>
    </row>
    <row r="10" spans="1:29" s="63" customFormat="1" ht="24.9" customHeight="1">
      <c r="A10" s="73">
        <v>1</v>
      </c>
      <c r="B10" s="214" t="s">
        <v>127</v>
      </c>
      <c r="C10" s="215"/>
      <c r="D10" s="216" t="s">
        <v>128</v>
      </c>
      <c r="E10" s="217"/>
      <c r="F10" s="218"/>
      <c r="G10" s="74">
        <v>0.4</v>
      </c>
      <c r="H10" s="75" t="s">
        <v>1</v>
      </c>
      <c r="I10" s="219">
        <f>K10*M10</f>
        <v>112</v>
      </c>
      <c r="J10" s="220"/>
      <c r="K10" s="219">
        <v>160</v>
      </c>
      <c r="L10" s="220"/>
      <c r="M10" s="221">
        <v>0.7</v>
      </c>
      <c r="N10" s="222"/>
      <c r="O10" s="216">
        <v>95</v>
      </c>
      <c r="P10" s="218"/>
      <c r="Q10" s="76">
        <v>0.85</v>
      </c>
      <c r="R10" s="77">
        <f>IF(I10="",0,IF(H10="C",1*(I10*100)/O10,"-"))</f>
        <v>117.89473684210526</v>
      </c>
      <c r="S10" s="210">
        <f>IF(H10="C",SQRT((I10/Q10)^2-I10^2)*100/O10,"-")</f>
        <v>73.064595685418396</v>
      </c>
      <c r="T10" s="211"/>
      <c r="U10" s="77" t="str">
        <f t="shared" ref="U10:U26" si="0">IF(I10="",0,IF(H10="I",1*(I10*100)/O10,"-"))</f>
        <v>-</v>
      </c>
      <c r="V10" s="212" t="str">
        <f t="shared" ref="V10:V26" si="1">IF(H10="I",SQRT((K10/Q10)^2-K10^2),"-")</f>
        <v>-</v>
      </c>
      <c r="W10" s="213"/>
      <c r="X10" s="77" t="str">
        <f>IF(I10="",0,IF(H10="S",1*(I10*100)/O10,"-"))</f>
        <v>-</v>
      </c>
      <c r="Y10" s="210" t="str">
        <f>IF(H10="S",SQRT((I10/Q10)^2-I10^2)*100/O10,"-")</f>
        <v>-</v>
      </c>
      <c r="Z10" s="211"/>
      <c r="AA10" s="78"/>
      <c r="AB10" s="79"/>
    </row>
    <row r="11" spans="1:29" s="63" customFormat="1" ht="24.9" customHeight="1">
      <c r="A11" s="73">
        <v>2</v>
      </c>
      <c r="B11" s="214" t="s">
        <v>129</v>
      </c>
      <c r="C11" s="215"/>
      <c r="D11" s="216" t="s">
        <v>130</v>
      </c>
      <c r="E11" s="217"/>
      <c r="F11" s="218"/>
      <c r="G11" s="74">
        <v>0.4</v>
      </c>
      <c r="H11" s="75" t="s">
        <v>131</v>
      </c>
      <c r="I11" s="219">
        <f t="shared" ref="I11:I26" si="2">K11*M11</f>
        <v>112</v>
      </c>
      <c r="J11" s="220"/>
      <c r="K11" s="219">
        <v>160</v>
      </c>
      <c r="L11" s="220"/>
      <c r="M11" s="221">
        <v>0.7</v>
      </c>
      <c r="N11" s="222"/>
      <c r="O11" s="216">
        <v>95</v>
      </c>
      <c r="P11" s="218"/>
      <c r="Q11" s="76">
        <v>0.85</v>
      </c>
      <c r="R11" s="77" t="str">
        <f t="shared" ref="R11:R22" si="3">IF(I11="",0,IF(H11="C",1*(I11*100)/O11,"-"))</f>
        <v>-</v>
      </c>
      <c r="S11" s="210" t="str">
        <f t="shared" ref="S11:S22" si="4">IF(H11="C",SQRT((I11/Q11)^2-I11^2)*100/O11,"-")</f>
        <v>-</v>
      </c>
      <c r="T11" s="211"/>
      <c r="U11" s="77" t="str">
        <f t="shared" si="0"/>
        <v>-</v>
      </c>
      <c r="V11" s="212" t="str">
        <f t="shared" si="1"/>
        <v>-</v>
      </c>
      <c r="W11" s="213"/>
      <c r="X11" s="77">
        <f t="shared" ref="X11:X22" si="5">IF(I11="",0,IF(H11="S",1*(I11*100)/O11,"-"))</f>
        <v>117.89473684210526</v>
      </c>
      <c r="Y11" s="210">
        <f t="shared" ref="Y11:Y22" si="6">IF(H11="S",SQRT((I11/Q11)^2-I11^2)*100/O11,"-")</f>
        <v>73.064595685418396</v>
      </c>
      <c r="Z11" s="211"/>
      <c r="AA11" s="80"/>
      <c r="AB11" s="79"/>
    </row>
    <row r="12" spans="1:29" s="63" customFormat="1" ht="24.9" customHeight="1">
      <c r="A12" s="73">
        <v>3</v>
      </c>
      <c r="B12" s="214" t="s">
        <v>132</v>
      </c>
      <c r="C12" s="215"/>
      <c r="D12" s="216" t="s">
        <v>133</v>
      </c>
      <c r="E12" s="217"/>
      <c r="F12" s="218"/>
      <c r="G12" s="74">
        <v>0.4</v>
      </c>
      <c r="H12" s="75" t="s">
        <v>1</v>
      </c>
      <c r="I12" s="219">
        <f t="shared" si="2"/>
        <v>112</v>
      </c>
      <c r="J12" s="220"/>
      <c r="K12" s="219">
        <v>160</v>
      </c>
      <c r="L12" s="220"/>
      <c r="M12" s="221">
        <v>0.7</v>
      </c>
      <c r="N12" s="222"/>
      <c r="O12" s="216">
        <v>95</v>
      </c>
      <c r="P12" s="218"/>
      <c r="Q12" s="76">
        <v>0.85</v>
      </c>
      <c r="R12" s="77">
        <f t="shared" si="3"/>
        <v>117.89473684210526</v>
      </c>
      <c r="S12" s="210">
        <f t="shared" si="4"/>
        <v>73.064595685418396</v>
      </c>
      <c r="T12" s="211"/>
      <c r="U12" s="77" t="str">
        <f t="shared" si="0"/>
        <v>-</v>
      </c>
      <c r="V12" s="212" t="str">
        <f t="shared" si="1"/>
        <v>-</v>
      </c>
      <c r="W12" s="213"/>
      <c r="X12" s="77" t="str">
        <f t="shared" si="5"/>
        <v>-</v>
      </c>
      <c r="Y12" s="210" t="str">
        <f t="shared" si="6"/>
        <v>-</v>
      </c>
      <c r="Z12" s="211"/>
      <c r="AA12" s="80"/>
      <c r="AB12" s="79"/>
    </row>
    <row r="13" spans="1:29" s="63" customFormat="1" ht="24.9" customHeight="1">
      <c r="A13" s="73">
        <v>4</v>
      </c>
      <c r="B13" s="214" t="s">
        <v>134</v>
      </c>
      <c r="C13" s="215"/>
      <c r="D13" s="216" t="s">
        <v>135</v>
      </c>
      <c r="E13" s="217"/>
      <c r="F13" s="218"/>
      <c r="G13" s="74">
        <v>0.4</v>
      </c>
      <c r="H13" s="75" t="s">
        <v>131</v>
      </c>
      <c r="I13" s="219">
        <f t="shared" si="2"/>
        <v>112</v>
      </c>
      <c r="J13" s="220"/>
      <c r="K13" s="219">
        <v>160</v>
      </c>
      <c r="L13" s="220"/>
      <c r="M13" s="221">
        <v>0.7</v>
      </c>
      <c r="N13" s="222"/>
      <c r="O13" s="216">
        <v>95</v>
      </c>
      <c r="P13" s="218"/>
      <c r="Q13" s="76">
        <v>0.85</v>
      </c>
      <c r="R13" s="77" t="str">
        <f t="shared" si="3"/>
        <v>-</v>
      </c>
      <c r="S13" s="210" t="str">
        <f t="shared" si="4"/>
        <v>-</v>
      </c>
      <c r="T13" s="211"/>
      <c r="U13" s="77" t="str">
        <f t="shared" si="0"/>
        <v>-</v>
      </c>
      <c r="V13" s="212" t="str">
        <f t="shared" si="1"/>
        <v>-</v>
      </c>
      <c r="W13" s="213"/>
      <c r="X13" s="77">
        <f t="shared" si="5"/>
        <v>117.89473684210526</v>
      </c>
      <c r="Y13" s="210">
        <f t="shared" si="6"/>
        <v>73.064595685418396</v>
      </c>
      <c r="Z13" s="211"/>
      <c r="AA13" s="80"/>
      <c r="AB13" s="79"/>
    </row>
    <row r="14" spans="1:29" s="63" customFormat="1" ht="24.9" customHeight="1">
      <c r="A14" s="73">
        <v>5</v>
      </c>
      <c r="B14" s="214" t="s">
        <v>136</v>
      </c>
      <c r="C14" s="215"/>
      <c r="D14" s="216" t="s">
        <v>137</v>
      </c>
      <c r="E14" s="217"/>
      <c r="F14" s="218"/>
      <c r="G14" s="74">
        <v>0.4</v>
      </c>
      <c r="H14" s="75" t="s">
        <v>1</v>
      </c>
      <c r="I14" s="219">
        <f t="shared" si="2"/>
        <v>10.5</v>
      </c>
      <c r="J14" s="220"/>
      <c r="K14" s="219">
        <v>15</v>
      </c>
      <c r="L14" s="220"/>
      <c r="M14" s="221">
        <v>0.7</v>
      </c>
      <c r="N14" s="222"/>
      <c r="O14" s="216">
        <v>95</v>
      </c>
      <c r="P14" s="218"/>
      <c r="Q14" s="76">
        <v>0.85</v>
      </c>
      <c r="R14" s="77">
        <f t="shared" si="3"/>
        <v>11.052631578947368</v>
      </c>
      <c r="S14" s="210">
        <f t="shared" si="4"/>
        <v>6.8498058455079747</v>
      </c>
      <c r="T14" s="211"/>
      <c r="U14" s="77" t="str">
        <f t="shared" si="0"/>
        <v>-</v>
      </c>
      <c r="V14" s="212" t="str">
        <f t="shared" si="1"/>
        <v>-</v>
      </c>
      <c r="W14" s="213"/>
      <c r="X14" s="77" t="str">
        <f t="shared" si="5"/>
        <v>-</v>
      </c>
      <c r="Y14" s="210" t="str">
        <f t="shared" si="6"/>
        <v>-</v>
      </c>
      <c r="Z14" s="211"/>
      <c r="AA14" s="80"/>
      <c r="AB14" s="79"/>
    </row>
    <row r="15" spans="1:29" s="63" customFormat="1" ht="24.9" customHeight="1">
      <c r="A15" s="73">
        <v>6</v>
      </c>
      <c r="B15" s="214" t="s">
        <v>138</v>
      </c>
      <c r="C15" s="215"/>
      <c r="D15" s="216" t="s">
        <v>139</v>
      </c>
      <c r="E15" s="217"/>
      <c r="F15" s="218"/>
      <c r="G15" s="74">
        <v>0.4</v>
      </c>
      <c r="H15" s="75" t="s">
        <v>131</v>
      </c>
      <c r="I15" s="219">
        <f t="shared" si="2"/>
        <v>10.5</v>
      </c>
      <c r="J15" s="220"/>
      <c r="K15" s="219">
        <v>15</v>
      </c>
      <c r="L15" s="220"/>
      <c r="M15" s="221">
        <v>0.7</v>
      </c>
      <c r="N15" s="222"/>
      <c r="O15" s="216">
        <v>95</v>
      </c>
      <c r="P15" s="218"/>
      <c r="Q15" s="76">
        <v>0.85</v>
      </c>
      <c r="R15" s="77" t="str">
        <f t="shared" si="3"/>
        <v>-</v>
      </c>
      <c r="S15" s="210" t="str">
        <f t="shared" si="4"/>
        <v>-</v>
      </c>
      <c r="T15" s="211"/>
      <c r="U15" s="77" t="str">
        <f t="shared" si="0"/>
        <v>-</v>
      </c>
      <c r="V15" s="212" t="str">
        <f t="shared" si="1"/>
        <v>-</v>
      </c>
      <c r="W15" s="213"/>
      <c r="X15" s="77">
        <f t="shared" si="5"/>
        <v>11.052631578947368</v>
      </c>
      <c r="Y15" s="210">
        <f t="shared" si="6"/>
        <v>6.8498058455079747</v>
      </c>
      <c r="Z15" s="211"/>
      <c r="AA15" s="80"/>
      <c r="AB15" s="79"/>
    </row>
    <row r="16" spans="1:29" s="63" customFormat="1" ht="24.9" customHeight="1">
      <c r="A16" s="73">
        <v>7</v>
      </c>
      <c r="B16" s="214" t="s">
        <v>140</v>
      </c>
      <c r="C16" s="215"/>
      <c r="D16" s="216" t="s">
        <v>141</v>
      </c>
      <c r="E16" s="217"/>
      <c r="F16" s="218"/>
      <c r="G16" s="74">
        <v>0.4</v>
      </c>
      <c r="H16" s="75" t="s">
        <v>1</v>
      </c>
      <c r="I16" s="219">
        <f t="shared" si="2"/>
        <v>10.5</v>
      </c>
      <c r="J16" s="220"/>
      <c r="K16" s="219">
        <v>15</v>
      </c>
      <c r="L16" s="220"/>
      <c r="M16" s="221">
        <v>0.7</v>
      </c>
      <c r="N16" s="222"/>
      <c r="O16" s="216">
        <v>95</v>
      </c>
      <c r="P16" s="218"/>
      <c r="Q16" s="76">
        <v>0.85</v>
      </c>
      <c r="R16" s="77">
        <f t="shared" si="3"/>
        <v>11.052631578947368</v>
      </c>
      <c r="S16" s="210">
        <f t="shared" si="4"/>
        <v>6.8498058455079747</v>
      </c>
      <c r="T16" s="211"/>
      <c r="U16" s="77" t="str">
        <f t="shared" si="0"/>
        <v>-</v>
      </c>
      <c r="V16" s="212" t="str">
        <f t="shared" si="1"/>
        <v>-</v>
      </c>
      <c r="W16" s="213"/>
      <c r="X16" s="77" t="str">
        <f t="shared" si="5"/>
        <v>-</v>
      </c>
      <c r="Y16" s="210" t="str">
        <f t="shared" si="6"/>
        <v>-</v>
      </c>
      <c r="Z16" s="211"/>
      <c r="AA16" s="80"/>
      <c r="AB16" s="79"/>
    </row>
    <row r="17" spans="1:31" s="63" customFormat="1" ht="24.9" customHeight="1">
      <c r="A17" s="73">
        <v>8</v>
      </c>
      <c r="B17" s="214" t="s">
        <v>142</v>
      </c>
      <c r="C17" s="215"/>
      <c r="D17" s="216" t="s">
        <v>143</v>
      </c>
      <c r="E17" s="217"/>
      <c r="F17" s="218"/>
      <c r="G17" s="74">
        <v>0.4</v>
      </c>
      <c r="H17" s="75" t="s">
        <v>131</v>
      </c>
      <c r="I17" s="219">
        <f t="shared" si="2"/>
        <v>10.5</v>
      </c>
      <c r="J17" s="220"/>
      <c r="K17" s="219">
        <v>15</v>
      </c>
      <c r="L17" s="220"/>
      <c r="M17" s="221">
        <v>0.7</v>
      </c>
      <c r="N17" s="222"/>
      <c r="O17" s="216">
        <v>95</v>
      </c>
      <c r="P17" s="218"/>
      <c r="Q17" s="76">
        <v>0.85</v>
      </c>
      <c r="R17" s="77" t="str">
        <f t="shared" si="3"/>
        <v>-</v>
      </c>
      <c r="S17" s="210" t="str">
        <f t="shared" si="4"/>
        <v>-</v>
      </c>
      <c r="T17" s="211"/>
      <c r="U17" s="77" t="str">
        <f t="shared" si="0"/>
        <v>-</v>
      </c>
      <c r="V17" s="212" t="str">
        <f t="shared" si="1"/>
        <v>-</v>
      </c>
      <c r="W17" s="213"/>
      <c r="X17" s="77">
        <f t="shared" si="5"/>
        <v>11.052631578947368</v>
      </c>
      <c r="Y17" s="210">
        <f t="shared" si="6"/>
        <v>6.8498058455079747</v>
      </c>
      <c r="Z17" s="211"/>
      <c r="AA17" s="80"/>
      <c r="AB17" s="79"/>
    </row>
    <row r="18" spans="1:31" s="63" customFormat="1" ht="44.4" customHeight="1">
      <c r="A18" s="73">
        <v>9</v>
      </c>
      <c r="B18" s="216" t="s">
        <v>144</v>
      </c>
      <c r="C18" s="215"/>
      <c r="D18" s="216" t="s">
        <v>145</v>
      </c>
      <c r="E18" s="217"/>
      <c r="F18" s="218"/>
      <c r="G18" s="74">
        <v>0.4</v>
      </c>
      <c r="H18" s="75" t="s">
        <v>1</v>
      </c>
      <c r="I18" s="219">
        <f t="shared" si="2"/>
        <v>56</v>
      </c>
      <c r="J18" s="220"/>
      <c r="K18" s="219">
        <v>80</v>
      </c>
      <c r="L18" s="220"/>
      <c r="M18" s="221">
        <v>0.7</v>
      </c>
      <c r="N18" s="222"/>
      <c r="O18" s="216">
        <v>95</v>
      </c>
      <c r="P18" s="218"/>
      <c r="Q18" s="76">
        <v>0.85</v>
      </c>
      <c r="R18" s="77">
        <f t="shared" si="3"/>
        <v>58.94736842105263</v>
      </c>
      <c r="S18" s="210">
        <f t="shared" si="4"/>
        <v>36.532297842709198</v>
      </c>
      <c r="T18" s="211"/>
      <c r="U18" s="77" t="str">
        <f t="shared" si="0"/>
        <v>-</v>
      </c>
      <c r="V18" s="212" t="str">
        <f t="shared" si="1"/>
        <v>-</v>
      </c>
      <c r="W18" s="213"/>
      <c r="X18" s="77" t="str">
        <f t="shared" si="5"/>
        <v>-</v>
      </c>
      <c r="Y18" s="210" t="str">
        <f t="shared" si="6"/>
        <v>-</v>
      </c>
      <c r="Z18" s="211"/>
      <c r="AA18" s="80"/>
      <c r="AB18" s="79"/>
    </row>
    <row r="19" spans="1:31" s="63" customFormat="1" ht="44.4" customHeight="1">
      <c r="A19" s="73">
        <v>10</v>
      </c>
      <c r="B19" s="216" t="s">
        <v>146</v>
      </c>
      <c r="C19" s="215"/>
      <c r="D19" s="216" t="s">
        <v>147</v>
      </c>
      <c r="E19" s="217"/>
      <c r="F19" s="218"/>
      <c r="G19" s="74">
        <v>0.4</v>
      </c>
      <c r="H19" s="75" t="s">
        <v>1</v>
      </c>
      <c r="I19" s="219">
        <f t="shared" si="2"/>
        <v>56</v>
      </c>
      <c r="J19" s="220"/>
      <c r="K19" s="219">
        <v>80</v>
      </c>
      <c r="L19" s="220"/>
      <c r="M19" s="221">
        <v>0.7</v>
      </c>
      <c r="N19" s="222"/>
      <c r="O19" s="216">
        <v>95</v>
      </c>
      <c r="P19" s="218"/>
      <c r="Q19" s="76">
        <v>0.85</v>
      </c>
      <c r="R19" s="77">
        <f>IF(I19="",0,IF(H19="C",1*(I19*100)/O19,"-"))</f>
        <v>58.94736842105263</v>
      </c>
      <c r="S19" s="210">
        <f>IF(H19="C",SQRT((I19/Q19)^2-I19^2)*100/O19,"-")</f>
        <v>36.532297842709198</v>
      </c>
      <c r="T19" s="211"/>
      <c r="U19" s="77" t="str">
        <f t="shared" si="0"/>
        <v>-</v>
      </c>
      <c r="V19" s="212" t="str">
        <f t="shared" si="1"/>
        <v>-</v>
      </c>
      <c r="W19" s="213"/>
      <c r="X19" s="77" t="str">
        <f>IF(I19="",0,IF(H19="S",1*(I19*100)/O19,"-"))</f>
        <v>-</v>
      </c>
      <c r="Y19" s="210" t="str">
        <f>IF(H19="S",SQRT((I19/Q19)^2-I19^2)*100/O19,"-")</f>
        <v>-</v>
      </c>
      <c r="Z19" s="211"/>
      <c r="AA19" s="80"/>
      <c r="AB19" s="79"/>
    </row>
    <row r="20" spans="1:31" s="63" customFormat="1" ht="44.4" customHeight="1">
      <c r="A20" s="73">
        <v>11</v>
      </c>
      <c r="B20" s="216" t="s">
        <v>148</v>
      </c>
      <c r="C20" s="215"/>
      <c r="D20" s="216" t="s">
        <v>149</v>
      </c>
      <c r="E20" s="217"/>
      <c r="F20" s="218"/>
      <c r="G20" s="74">
        <v>0.4</v>
      </c>
      <c r="H20" s="75" t="s">
        <v>1</v>
      </c>
      <c r="I20" s="219">
        <f t="shared" si="2"/>
        <v>56</v>
      </c>
      <c r="J20" s="220"/>
      <c r="K20" s="219">
        <v>80</v>
      </c>
      <c r="L20" s="220"/>
      <c r="M20" s="221">
        <v>0.7</v>
      </c>
      <c r="N20" s="222"/>
      <c r="O20" s="216">
        <v>95</v>
      </c>
      <c r="P20" s="218"/>
      <c r="Q20" s="76">
        <v>0.85</v>
      </c>
      <c r="R20" s="77">
        <f t="shared" si="3"/>
        <v>58.94736842105263</v>
      </c>
      <c r="S20" s="210">
        <f t="shared" si="4"/>
        <v>36.532297842709198</v>
      </c>
      <c r="T20" s="211"/>
      <c r="U20" s="77" t="str">
        <f t="shared" si="0"/>
        <v>-</v>
      </c>
      <c r="V20" s="212" t="str">
        <f t="shared" si="1"/>
        <v>-</v>
      </c>
      <c r="W20" s="213"/>
      <c r="X20" s="77" t="str">
        <f t="shared" si="5"/>
        <v>-</v>
      </c>
      <c r="Y20" s="210" t="str">
        <f t="shared" si="6"/>
        <v>-</v>
      </c>
      <c r="Z20" s="211"/>
      <c r="AA20" s="80"/>
      <c r="AB20" s="79"/>
    </row>
    <row r="21" spans="1:31" s="63" customFormat="1" ht="44.4" customHeight="1">
      <c r="A21" s="73">
        <v>12</v>
      </c>
      <c r="B21" s="216" t="s">
        <v>150</v>
      </c>
      <c r="C21" s="215"/>
      <c r="D21" s="216" t="s">
        <v>151</v>
      </c>
      <c r="E21" s="217"/>
      <c r="F21" s="218"/>
      <c r="G21" s="74">
        <v>0.4</v>
      </c>
      <c r="H21" s="75" t="s">
        <v>1</v>
      </c>
      <c r="I21" s="219">
        <f t="shared" si="2"/>
        <v>56</v>
      </c>
      <c r="J21" s="220"/>
      <c r="K21" s="219">
        <v>80</v>
      </c>
      <c r="L21" s="220"/>
      <c r="M21" s="221">
        <v>0.7</v>
      </c>
      <c r="N21" s="222"/>
      <c r="O21" s="216">
        <v>95</v>
      </c>
      <c r="P21" s="218"/>
      <c r="Q21" s="76">
        <v>0.85</v>
      </c>
      <c r="R21" s="77">
        <f t="shared" si="3"/>
        <v>58.94736842105263</v>
      </c>
      <c r="S21" s="210">
        <f t="shared" si="4"/>
        <v>36.532297842709198</v>
      </c>
      <c r="T21" s="211"/>
      <c r="U21" s="77" t="str">
        <f t="shared" si="0"/>
        <v>-</v>
      </c>
      <c r="V21" s="212" t="str">
        <f t="shared" si="1"/>
        <v>-</v>
      </c>
      <c r="W21" s="213"/>
      <c r="X21" s="77" t="str">
        <f t="shared" si="5"/>
        <v>-</v>
      </c>
      <c r="Y21" s="210" t="str">
        <f t="shared" si="6"/>
        <v>-</v>
      </c>
      <c r="Z21" s="211"/>
      <c r="AA21" s="80"/>
      <c r="AB21" s="79"/>
    </row>
    <row r="22" spans="1:31" s="63" customFormat="1" ht="24.9" customHeight="1">
      <c r="A22" s="73">
        <v>13</v>
      </c>
      <c r="B22" s="214" t="s">
        <v>152</v>
      </c>
      <c r="C22" s="215"/>
      <c r="D22" s="216" t="s">
        <v>153</v>
      </c>
      <c r="E22" s="217"/>
      <c r="F22" s="218"/>
      <c r="G22" s="74">
        <v>0.4</v>
      </c>
      <c r="H22" s="75" t="s">
        <v>1</v>
      </c>
      <c r="I22" s="219">
        <f t="shared" si="2"/>
        <v>25.9</v>
      </c>
      <c r="J22" s="220"/>
      <c r="K22" s="219">
        <v>37</v>
      </c>
      <c r="L22" s="220"/>
      <c r="M22" s="221">
        <v>0.7</v>
      </c>
      <c r="N22" s="222"/>
      <c r="O22" s="216">
        <v>95</v>
      </c>
      <c r="P22" s="218"/>
      <c r="Q22" s="76">
        <v>0.85</v>
      </c>
      <c r="R22" s="77">
        <f t="shared" si="3"/>
        <v>27.263157894736842</v>
      </c>
      <c r="S22" s="210">
        <f t="shared" si="4"/>
        <v>16.896187752252999</v>
      </c>
      <c r="T22" s="211"/>
      <c r="U22" s="77" t="str">
        <f t="shared" si="0"/>
        <v>-</v>
      </c>
      <c r="V22" s="212" t="str">
        <f t="shared" si="1"/>
        <v>-</v>
      </c>
      <c r="W22" s="213"/>
      <c r="X22" s="77" t="str">
        <f t="shared" si="5"/>
        <v>-</v>
      </c>
      <c r="Y22" s="210" t="str">
        <f t="shared" si="6"/>
        <v>-</v>
      </c>
      <c r="Z22" s="211"/>
      <c r="AA22" s="80"/>
      <c r="AB22" s="79"/>
    </row>
    <row r="23" spans="1:31" s="63" customFormat="1" ht="24.9" customHeight="1">
      <c r="A23" s="73">
        <v>14</v>
      </c>
      <c r="B23" s="214" t="s">
        <v>152</v>
      </c>
      <c r="C23" s="215"/>
      <c r="D23" s="216" t="s">
        <v>154</v>
      </c>
      <c r="E23" s="217"/>
      <c r="F23" s="218"/>
      <c r="G23" s="74">
        <v>0.4</v>
      </c>
      <c r="H23" s="75" t="s">
        <v>1</v>
      </c>
      <c r="I23" s="219">
        <f t="shared" si="2"/>
        <v>25.9</v>
      </c>
      <c r="J23" s="220"/>
      <c r="K23" s="219">
        <v>37</v>
      </c>
      <c r="L23" s="220"/>
      <c r="M23" s="221">
        <v>0.7</v>
      </c>
      <c r="N23" s="222"/>
      <c r="O23" s="216">
        <v>95</v>
      </c>
      <c r="P23" s="218"/>
      <c r="Q23" s="76">
        <v>0.85</v>
      </c>
      <c r="R23" s="77">
        <f>IF(I23="",0,IF(H23="C",1*(I23*100)/O23,"-"))</f>
        <v>27.263157894736842</v>
      </c>
      <c r="S23" s="210">
        <f>IF(H23="C",SQRT((I23/Q23)^2-I23^2)*100/O23,"-")</f>
        <v>16.896187752252999</v>
      </c>
      <c r="T23" s="211"/>
      <c r="U23" s="77" t="str">
        <f t="shared" si="0"/>
        <v>-</v>
      </c>
      <c r="V23" s="212" t="str">
        <f t="shared" si="1"/>
        <v>-</v>
      </c>
      <c r="W23" s="213"/>
      <c r="X23" s="77" t="str">
        <f>IF(I23="",0,IF(H23="S",1*(I23*100)/O23,"-"))</f>
        <v>-</v>
      </c>
      <c r="Y23" s="210" t="str">
        <f>IF(H23="S",SQRT((I23/Q23)^2-I23^2)*100/O23,"-")</f>
        <v>-</v>
      </c>
      <c r="Z23" s="211"/>
      <c r="AA23" s="80"/>
      <c r="AB23" s="79"/>
    </row>
    <row r="24" spans="1:31" s="63" customFormat="1" ht="24.9" customHeight="1">
      <c r="A24" s="73">
        <v>15</v>
      </c>
      <c r="B24" s="214" t="s">
        <v>155</v>
      </c>
      <c r="C24" s="215"/>
      <c r="D24" s="216" t="s">
        <v>156</v>
      </c>
      <c r="E24" s="217"/>
      <c r="F24" s="218"/>
      <c r="G24" s="74">
        <v>0.4</v>
      </c>
      <c r="H24" s="75" t="s">
        <v>1</v>
      </c>
      <c r="I24" s="219">
        <f t="shared" si="2"/>
        <v>112</v>
      </c>
      <c r="J24" s="220"/>
      <c r="K24" s="219">
        <v>160</v>
      </c>
      <c r="L24" s="220"/>
      <c r="M24" s="221">
        <v>0.7</v>
      </c>
      <c r="N24" s="222"/>
      <c r="O24" s="216">
        <v>95</v>
      </c>
      <c r="P24" s="218"/>
      <c r="Q24" s="76">
        <v>0.85</v>
      </c>
      <c r="R24" s="77">
        <f>IF(I24="",0,IF(H24="C",1*(I24*100)/O24,"-"))</f>
        <v>117.89473684210526</v>
      </c>
      <c r="S24" s="210">
        <f>IF(H24="C",SQRT((I24/Q24)^2-I24^2)*100/O24,"-")</f>
        <v>73.064595685418396</v>
      </c>
      <c r="T24" s="211"/>
      <c r="U24" s="77" t="str">
        <f t="shared" si="0"/>
        <v>-</v>
      </c>
      <c r="V24" s="212" t="str">
        <f t="shared" si="1"/>
        <v>-</v>
      </c>
      <c r="W24" s="213"/>
      <c r="X24" s="77" t="str">
        <f>IF(I24="",0,IF(H24="S",1*(I24*100)/O24,"-"))</f>
        <v>-</v>
      </c>
      <c r="Y24" s="210" t="str">
        <f>IF(H24="S",SQRT((I24/Q24)^2-I24^2)*100/O24,"-")</f>
        <v>-</v>
      </c>
      <c r="Z24" s="211"/>
      <c r="AA24" s="81"/>
      <c r="AB24" s="79"/>
    </row>
    <row r="25" spans="1:31" s="63" customFormat="1" ht="24.9" customHeight="1">
      <c r="A25" s="82">
        <v>16</v>
      </c>
      <c r="B25" s="223" t="s">
        <v>157</v>
      </c>
      <c r="C25" s="224"/>
      <c r="D25" s="225" t="s">
        <v>158</v>
      </c>
      <c r="E25" s="226"/>
      <c r="F25" s="227"/>
      <c r="G25" s="83">
        <v>0.4</v>
      </c>
      <c r="H25" s="84" t="s">
        <v>1</v>
      </c>
      <c r="I25" s="225">
        <f t="shared" si="2"/>
        <v>5.25</v>
      </c>
      <c r="J25" s="227"/>
      <c r="K25" s="225">
        <v>7.5</v>
      </c>
      <c r="L25" s="227"/>
      <c r="M25" s="228">
        <v>0.7</v>
      </c>
      <c r="N25" s="229"/>
      <c r="O25" s="223">
        <v>95</v>
      </c>
      <c r="P25" s="224"/>
      <c r="Q25" s="85">
        <v>0.85</v>
      </c>
      <c r="R25" s="86">
        <f>IF(I25="",0,IF(H25="C",1*(I25*100)/O25,"-"))</f>
        <v>5.5263157894736841</v>
      </c>
      <c r="S25" s="210">
        <f>IF(H25="C",SQRT((I25/Q25)^2-I25^2)*100/O25,"-")</f>
        <v>3.4249029227539873</v>
      </c>
      <c r="T25" s="211"/>
      <c r="U25" s="86" t="str">
        <f t="shared" si="0"/>
        <v>-</v>
      </c>
      <c r="V25" s="210" t="str">
        <f t="shared" si="1"/>
        <v>-</v>
      </c>
      <c r="W25" s="211"/>
      <c r="X25" s="86" t="str">
        <f>IF(I25="",0,IF(H25="S",1*(I25*100)/O25,"-"))</f>
        <v>-</v>
      </c>
      <c r="Y25" s="210" t="str">
        <f>IF(H25="S",SQRT((I25/Q25)^2-I25^2)*100/O25,"-")</f>
        <v>-</v>
      </c>
      <c r="Z25" s="211"/>
      <c r="AA25" s="87"/>
      <c r="AB25" s="79"/>
    </row>
    <row r="26" spans="1:31" s="63" customFormat="1" ht="24.9" customHeight="1">
      <c r="A26" s="82">
        <v>17</v>
      </c>
      <c r="B26" s="223" t="s">
        <v>157</v>
      </c>
      <c r="C26" s="224"/>
      <c r="D26" s="225" t="s">
        <v>159</v>
      </c>
      <c r="E26" s="226"/>
      <c r="F26" s="227"/>
      <c r="G26" s="83">
        <v>0.4</v>
      </c>
      <c r="H26" s="84" t="s">
        <v>131</v>
      </c>
      <c r="I26" s="225">
        <f t="shared" si="2"/>
        <v>5.25</v>
      </c>
      <c r="J26" s="227"/>
      <c r="K26" s="225">
        <v>7.5</v>
      </c>
      <c r="L26" s="227"/>
      <c r="M26" s="228">
        <v>0.7</v>
      </c>
      <c r="N26" s="229"/>
      <c r="O26" s="223">
        <v>95</v>
      </c>
      <c r="P26" s="224"/>
      <c r="Q26" s="85">
        <v>0.85</v>
      </c>
      <c r="R26" s="86" t="str">
        <f>IF(I26="",0,IF(H26="C",1*(I26*100)/O26,"-"))</f>
        <v>-</v>
      </c>
      <c r="S26" s="210" t="str">
        <f>IF(H26="C",SQRT((I26/Q26)^2-I26^2)*100/O26,"-")</f>
        <v>-</v>
      </c>
      <c r="T26" s="211"/>
      <c r="U26" s="86" t="str">
        <f t="shared" si="0"/>
        <v>-</v>
      </c>
      <c r="V26" s="210" t="str">
        <f t="shared" si="1"/>
        <v>-</v>
      </c>
      <c r="W26" s="211"/>
      <c r="X26" s="86">
        <f>IF(I26="",0,IF(H26="S",1*(I26*100)/O26,"-"))</f>
        <v>5.5263157894736841</v>
      </c>
      <c r="Y26" s="210">
        <f>IF(H26="S",SQRT((I26/Q26)^2-I26^2)*100/O26,"-")</f>
        <v>3.4249029227539873</v>
      </c>
      <c r="Z26" s="211"/>
      <c r="AA26" s="87"/>
      <c r="AB26" s="79"/>
    </row>
    <row r="27" spans="1:31" ht="24.9" customHeight="1">
      <c r="A27" s="88" t="s">
        <v>160</v>
      </c>
      <c r="B27" s="89"/>
      <c r="C27" s="89"/>
      <c r="D27" s="90"/>
      <c r="E27" s="91"/>
      <c r="F27" s="91"/>
      <c r="G27" s="91"/>
      <c r="H27" s="91"/>
      <c r="I27" s="91"/>
      <c r="J27" s="91"/>
      <c r="K27" s="91"/>
      <c r="L27" s="92"/>
      <c r="M27" s="89"/>
      <c r="N27" s="93"/>
      <c r="O27" s="241" t="s">
        <v>161</v>
      </c>
      <c r="P27" s="241"/>
      <c r="Q27" s="241"/>
      <c r="R27" s="242">
        <f>ROUNDUP(SUM(R10:R26),3)</f>
        <v>671.63199999999995</v>
      </c>
      <c r="S27" s="243">
        <f>ROUNDUP(SUM(S10:T26),3)</f>
        <v>416.23999999999995</v>
      </c>
      <c r="T27" s="244"/>
      <c r="U27" s="242">
        <f>ROUNDUP(SUM(U10:U26),3)</f>
        <v>0</v>
      </c>
      <c r="V27" s="243">
        <f>ROUNDUP(SUM(V10:W26),3)</f>
        <v>0</v>
      </c>
      <c r="W27" s="249"/>
      <c r="X27" s="242">
        <f>ROUNDUP(SUM(X10:X26),2)</f>
        <v>263.43</v>
      </c>
      <c r="Y27" s="243">
        <f>ROUNDUP(SUM(Y10:Z26),2)</f>
        <v>163.26</v>
      </c>
      <c r="Z27" s="244"/>
      <c r="AA27" s="230" t="s">
        <v>162</v>
      </c>
    </row>
    <row r="28" spans="1:31" ht="24.9" customHeight="1">
      <c r="A28" s="95"/>
      <c r="C28" s="96">
        <f>ROUNDUP((R27+(0.3*U27)+(0*X27)),3)</f>
        <v>671.63199999999995</v>
      </c>
      <c r="D28" s="97" t="s">
        <v>163</v>
      </c>
      <c r="E28" s="98">
        <f>ROUNDUP((S27+(0.3*V27)+(0*Y27)),3)</f>
        <v>416.24</v>
      </c>
      <c r="F28" s="97" t="s">
        <v>164</v>
      </c>
      <c r="G28" s="97"/>
      <c r="I28" s="100">
        <f>ROUNDUP(SQRT(C28^2+E28^2),3)</f>
        <v>790.15599999999995</v>
      </c>
      <c r="J28" s="97"/>
      <c r="K28" s="97" t="s">
        <v>165</v>
      </c>
      <c r="L28" s="101"/>
      <c r="M28" s="101"/>
      <c r="N28" s="102"/>
      <c r="O28" s="241"/>
      <c r="P28" s="241"/>
      <c r="Q28" s="241"/>
      <c r="R28" s="242"/>
      <c r="S28" s="245"/>
      <c r="T28" s="246"/>
      <c r="U28" s="241"/>
      <c r="V28" s="250"/>
      <c r="W28" s="251"/>
      <c r="X28" s="242"/>
      <c r="Y28" s="245"/>
      <c r="Z28" s="246"/>
      <c r="AA28" s="231"/>
      <c r="AC28" s="103"/>
    </row>
    <row r="29" spans="1:31" ht="24.9" customHeight="1">
      <c r="A29" s="104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2"/>
      <c r="O29" s="241"/>
      <c r="P29" s="241"/>
      <c r="Q29" s="241"/>
      <c r="R29" s="242"/>
      <c r="S29" s="247"/>
      <c r="T29" s="248"/>
      <c r="U29" s="241"/>
      <c r="V29" s="252"/>
      <c r="W29" s="253"/>
      <c r="X29" s="242"/>
      <c r="Y29" s="247"/>
      <c r="Z29" s="248"/>
      <c r="AA29" s="231"/>
      <c r="AC29" s="103"/>
      <c r="AE29" s="103"/>
    </row>
    <row r="30" spans="1:31" ht="24.9" customHeight="1">
      <c r="A30" s="105"/>
      <c r="B30" s="106"/>
      <c r="C30" s="106"/>
      <c r="D30" s="106"/>
      <c r="E30" s="107"/>
      <c r="F30" s="97"/>
      <c r="G30" s="97"/>
      <c r="H30" s="108"/>
      <c r="I30" s="107"/>
      <c r="J30" s="97"/>
      <c r="K30" s="108"/>
      <c r="L30" s="101"/>
      <c r="M30" s="101"/>
      <c r="N30" s="102"/>
      <c r="O30" s="232"/>
      <c r="P30" s="233"/>
      <c r="Q30" s="233"/>
      <c r="R30" s="234">
        <f>ROUNDUP(SQRT(R27^2+S27^2),3)</f>
        <v>790.15599999999995</v>
      </c>
      <c r="S30" s="235"/>
      <c r="T30" s="236"/>
      <c r="U30" s="237">
        <f>ROUNDUP(SQRT(U27^2+V27^2),3)</f>
        <v>0</v>
      </c>
      <c r="V30" s="238"/>
      <c r="W30" s="239"/>
      <c r="X30" s="234">
        <f>ROUNDUP(SQRT(X27^2+Y27^2),2)</f>
        <v>309.92</v>
      </c>
      <c r="Y30" s="235"/>
      <c r="Z30" s="236"/>
      <c r="AA30" s="109">
        <f>C28/I28</f>
        <v>0.84999924065627541</v>
      </c>
    </row>
    <row r="31" spans="1:31" ht="24.9" customHeight="1">
      <c r="A31" s="110"/>
      <c r="B31" s="106"/>
      <c r="C31" s="111"/>
      <c r="D31" s="97"/>
      <c r="E31" s="107"/>
      <c r="F31" s="97"/>
      <c r="G31" s="97"/>
      <c r="H31" s="108"/>
      <c r="I31" s="107"/>
      <c r="J31" s="97"/>
      <c r="K31" s="112"/>
      <c r="L31" s="108"/>
      <c r="M31" s="113"/>
      <c r="N31" s="113"/>
      <c r="O31" s="113"/>
      <c r="P31" s="97"/>
      <c r="Q31" s="240"/>
      <c r="R31" s="240"/>
      <c r="S31" s="106"/>
      <c r="T31" s="106"/>
      <c r="U31" s="106"/>
      <c r="V31" s="106"/>
      <c r="W31" s="106"/>
      <c r="X31" s="106"/>
      <c r="Y31" s="106"/>
      <c r="Z31" s="106"/>
      <c r="AA31" s="114"/>
    </row>
    <row r="32" spans="1:31" ht="24.9" customHeight="1">
      <c r="A32" s="105" t="s">
        <v>166</v>
      </c>
      <c r="B32" s="106"/>
      <c r="C32" s="96">
        <f>ROUNDUP((C28), 3)</f>
        <v>671.63199999999995</v>
      </c>
      <c r="D32" s="97" t="s">
        <v>163</v>
      </c>
      <c r="E32" s="96">
        <f>ROUNDUP((E28),3)</f>
        <v>416.24</v>
      </c>
      <c r="F32" s="97" t="s">
        <v>164</v>
      </c>
      <c r="G32" s="97"/>
      <c r="H32" s="108"/>
      <c r="I32" s="98">
        <f>ROUNDUP(SQRT(C32^2+E32^2),3)</f>
        <v>790.15599999999995</v>
      </c>
      <c r="J32" s="97" t="s">
        <v>165</v>
      </c>
      <c r="K32" s="112"/>
      <c r="L32" s="108"/>
      <c r="M32" s="107"/>
      <c r="N32" s="107"/>
      <c r="O32" s="107"/>
      <c r="P32" s="108"/>
      <c r="Q32" s="108"/>
      <c r="R32" s="108"/>
      <c r="S32" s="106"/>
      <c r="T32" s="106"/>
      <c r="U32" s="106"/>
      <c r="V32" s="106"/>
      <c r="W32" s="106"/>
      <c r="X32" s="106"/>
      <c r="Y32" s="106"/>
      <c r="Z32" s="106"/>
      <c r="AA32" s="114"/>
    </row>
    <row r="33" spans="1:27" ht="24.9" customHeight="1">
      <c r="A33" s="95"/>
      <c r="E33" s="94"/>
      <c r="F33" s="94"/>
      <c r="G33" s="94"/>
      <c r="H33" s="94"/>
      <c r="I33" s="94"/>
      <c r="J33" s="94"/>
      <c r="K33" s="94"/>
      <c r="L33" s="108"/>
      <c r="M33" s="240"/>
      <c r="N33" s="240"/>
      <c r="O33" s="240"/>
      <c r="P33" s="97"/>
      <c r="Q33" s="255"/>
      <c r="R33" s="255"/>
      <c r="S33" s="106"/>
      <c r="T33" s="106"/>
      <c r="U33" s="106"/>
      <c r="V33" s="106"/>
      <c r="W33" s="106"/>
      <c r="X33" s="106"/>
      <c r="Y33" s="106"/>
      <c r="Z33" s="106"/>
      <c r="AA33" s="114"/>
    </row>
    <row r="34" spans="1:27" ht="24.9" customHeight="1">
      <c r="A34" s="115" t="s">
        <v>167</v>
      </c>
      <c r="B34" s="116"/>
      <c r="C34" s="116"/>
      <c r="D34" s="116"/>
      <c r="E34" s="117">
        <f>I32</f>
        <v>790.15599999999995</v>
      </c>
      <c r="F34" s="118" t="s">
        <v>165</v>
      </c>
      <c r="G34" s="94"/>
      <c r="H34" s="94"/>
      <c r="I34" s="94"/>
      <c r="J34" s="94"/>
      <c r="K34" s="94"/>
      <c r="L34" s="108"/>
      <c r="M34" s="240"/>
      <c r="N34" s="240"/>
      <c r="O34" s="240"/>
      <c r="P34" s="97"/>
      <c r="Q34" s="255"/>
      <c r="R34" s="255"/>
      <c r="S34" s="106"/>
      <c r="T34" s="106"/>
      <c r="U34" s="106"/>
      <c r="V34" s="106"/>
      <c r="W34" s="106"/>
      <c r="X34" s="106"/>
      <c r="Y34" s="106"/>
      <c r="Z34" s="106"/>
      <c r="AA34" s="114"/>
    </row>
    <row r="35" spans="1:27" ht="24.9" customHeight="1">
      <c r="A35" s="119"/>
      <c r="B35" s="116"/>
      <c r="C35" s="116"/>
      <c r="D35" s="116"/>
      <c r="E35" s="117"/>
      <c r="F35" s="118"/>
      <c r="G35" s="94"/>
      <c r="H35" s="94"/>
      <c r="I35" s="94"/>
      <c r="J35" s="94"/>
      <c r="K35" s="94"/>
      <c r="L35" s="108"/>
      <c r="M35" s="107"/>
      <c r="N35" s="107"/>
      <c r="O35" s="107"/>
      <c r="P35" s="97"/>
      <c r="Q35" s="111"/>
      <c r="R35" s="111"/>
      <c r="S35" s="106"/>
      <c r="T35" s="106"/>
      <c r="U35" s="106"/>
      <c r="V35" s="106"/>
      <c r="W35" s="106"/>
      <c r="X35" s="106"/>
      <c r="Y35" s="106"/>
      <c r="Z35" s="106"/>
      <c r="AA35" s="114"/>
    </row>
    <row r="36" spans="1:27" ht="24.9" customHeight="1">
      <c r="A36" s="120" t="s">
        <v>168</v>
      </c>
      <c r="B36" s="106"/>
      <c r="J36" s="121"/>
      <c r="K36" s="121" t="s">
        <v>169</v>
      </c>
      <c r="L36" s="121"/>
      <c r="M36" s="121"/>
      <c r="N36" s="108"/>
      <c r="O36" s="108"/>
      <c r="P36" s="108"/>
      <c r="Q36" s="240"/>
      <c r="R36" s="240"/>
      <c r="S36" s="106"/>
      <c r="T36" s="106"/>
      <c r="U36" s="106"/>
      <c r="V36" s="106"/>
      <c r="W36" s="106"/>
      <c r="X36" s="106"/>
      <c r="Y36" s="106"/>
      <c r="Z36" s="106"/>
      <c r="AA36" s="114"/>
    </row>
    <row r="37" spans="1:27" ht="24.9" customHeight="1">
      <c r="A37" s="122" t="s">
        <v>170</v>
      </c>
      <c r="J37" s="121"/>
      <c r="K37" s="121" t="s">
        <v>171</v>
      </c>
      <c r="L37" s="121"/>
      <c r="M37" s="121"/>
      <c r="AA37" s="123"/>
    </row>
    <row r="38" spans="1:27" ht="24.9" customHeight="1">
      <c r="A38" s="124" t="s">
        <v>172</v>
      </c>
      <c r="B38" s="106"/>
      <c r="J38" s="125"/>
      <c r="K38" s="121" t="s">
        <v>173</v>
      </c>
      <c r="L38" s="121"/>
      <c r="M38" s="121"/>
      <c r="N38" s="108"/>
      <c r="O38" s="108"/>
      <c r="P38" s="108"/>
      <c r="Q38" s="240"/>
      <c r="R38" s="240"/>
      <c r="S38" s="106"/>
      <c r="T38" s="106"/>
      <c r="U38" s="106"/>
      <c r="V38" s="106"/>
      <c r="W38" s="106"/>
      <c r="X38" s="106"/>
      <c r="Y38" s="106"/>
      <c r="Z38" s="106"/>
      <c r="AA38" s="114"/>
    </row>
    <row r="39" spans="1:27" ht="24.9" customHeight="1">
      <c r="A39" s="95"/>
      <c r="B39" s="106"/>
      <c r="J39" s="121"/>
      <c r="K39" s="121" t="s">
        <v>174</v>
      </c>
      <c r="L39" s="121"/>
      <c r="M39" s="121"/>
      <c r="N39" s="108"/>
      <c r="O39" s="108"/>
      <c r="P39" s="108"/>
      <c r="Q39" s="240"/>
      <c r="R39" s="240"/>
      <c r="S39" s="106"/>
      <c r="T39" s="106"/>
      <c r="U39" s="106"/>
      <c r="V39" s="106"/>
      <c r="W39" s="106"/>
      <c r="X39" s="106"/>
      <c r="Y39" s="106"/>
      <c r="Z39" s="106"/>
      <c r="AA39" s="114"/>
    </row>
    <row r="40" spans="1:27" ht="24.9" customHeight="1">
      <c r="A40" s="110"/>
      <c r="B40" s="106"/>
      <c r="L40" s="108"/>
      <c r="M40" s="108"/>
      <c r="N40" s="108"/>
      <c r="O40" s="108"/>
      <c r="P40" s="108"/>
      <c r="Q40" s="240"/>
      <c r="R40" s="240"/>
      <c r="S40" s="106"/>
      <c r="T40" s="106"/>
      <c r="U40" s="106"/>
      <c r="V40" s="106"/>
      <c r="W40" s="106"/>
      <c r="X40" s="106"/>
      <c r="Y40" s="106"/>
      <c r="Z40" s="106"/>
      <c r="AA40" s="114"/>
    </row>
    <row r="41" spans="1:27" ht="24.9" customHeight="1">
      <c r="A41" s="126"/>
      <c r="B41" s="127"/>
      <c r="C41" s="128"/>
      <c r="D41" s="128"/>
      <c r="E41" s="129"/>
      <c r="F41" s="129"/>
      <c r="G41" s="129"/>
      <c r="H41" s="129"/>
      <c r="I41" s="129"/>
      <c r="J41" s="129"/>
      <c r="K41" s="129"/>
      <c r="L41" s="130"/>
      <c r="M41" s="130"/>
      <c r="N41" s="130"/>
      <c r="O41" s="130"/>
      <c r="P41" s="130"/>
      <c r="Q41" s="254"/>
      <c r="R41" s="254"/>
      <c r="S41" s="127"/>
      <c r="T41" s="127"/>
      <c r="U41" s="127"/>
      <c r="V41" s="127"/>
      <c r="W41" s="127"/>
      <c r="X41" s="127"/>
      <c r="Y41" s="127"/>
      <c r="Z41" s="127"/>
      <c r="AA41" s="131"/>
    </row>
    <row r="42" spans="1:27" ht="24.9" customHeight="1"/>
    <row r="43" spans="1:27" ht="24.9" customHeight="1"/>
    <row r="44" spans="1:27" ht="24.9" customHeight="1"/>
    <row r="45" spans="1:27" ht="24.9" customHeight="1"/>
    <row r="46" spans="1:27" ht="24.9" customHeight="1"/>
    <row r="47" spans="1:27" ht="24.9" customHeight="1"/>
    <row r="48" spans="1:27" ht="24.9" customHeight="1"/>
    <row r="49" spans="3:3" ht="24.9" customHeight="1"/>
    <row r="50" spans="3:3" ht="24.9" customHeight="1"/>
    <row r="51" spans="3:3" ht="24.9" customHeight="1"/>
    <row r="52" spans="3:3" ht="24.9" customHeight="1"/>
    <row r="53" spans="3:3" ht="24.9" customHeight="1">
      <c r="C53" s="132"/>
    </row>
    <row r="54" spans="3:3" ht="24.9" customHeight="1"/>
    <row r="55" spans="3:3" ht="24.9" customHeight="1"/>
    <row r="56" spans="3:3" ht="24.9" customHeight="1"/>
    <row r="57" spans="3:3" ht="24.9" customHeight="1"/>
    <row r="58" spans="3:3" ht="24.9" customHeight="1"/>
    <row r="59" spans="3:3" ht="24.9" customHeight="1"/>
    <row r="60" spans="3:3" ht="24.9" customHeight="1"/>
    <row r="61" spans="3:3" ht="24.9" customHeight="1"/>
    <row r="62" spans="3:3" ht="24.9" customHeight="1"/>
    <row r="63" spans="3:3" ht="24.9" customHeight="1">
      <c r="C63" s="132"/>
    </row>
    <row r="64" spans="3:3" ht="24.9" customHeight="1"/>
    <row r="65" ht="24.9" customHeight="1"/>
    <row r="66" ht="24.9" customHeight="1"/>
    <row r="67" ht="24.9" customHeight="1"/>
    <row r="68" ht="24.9" customHeight="1"/>
    <row r="69" ht="24.9" customHeight="1"/>
    <row r="70" ht="24.9" customHeight="1"/>
    <row r="71" ht="24.9" customHeight="1"/>
    <row r="72" ht="24.9" customHeight="1"/>
    <row r="73" ht="24.9" customHeight="1"/>
    <row r="74" ht="24.9" customHeight="1"/>
    <row r="75" ht="24.9" customHeight="1"/>
    <row r="76" ht="24.9" customHeight="1"/>
    <row r="77" ht="24.9" customHeight="1"/>
    <row r="78" ht="24.9" customHeight="1"/>
    <row r="79" ht="24.9" customHeight="1"/>
    <row r="80" ht="24.9" customHeight="1"/>
    <row r="81" ht="24.9" customHeight="1"/>
    <row r="82" ht="24.9" customHeight="1"/>
    <row r="83" ht="24.9" customHeight="1"/>
  </sheetData>
  <mergeCells count="209">
    <mergeCell ref="Q39:R39"/>
    <mergeCell ref="Q40:R40"/>
    <mergeCell ref="Q41:R41"/>
    <mergeCell ref="M33:O33"/>
    <mergeCell ref="Q33:R33"/>
    <mergeCell ref="M34:O34"/>
    <mergeCell ref="Q34:R34"/>
    <mergeCell ref="Q36:R36"/>
    <mergeCell ref="Q38:R38"/>
    <mergeCell ref="AA27:AA29"/>
    <mergeCell ref="O30:Q30"/>
    <mergeCell ref="R30:T30"/>
    <mergeCell ref="U30:W30"/>
    <mergeCell ref="X30:Z30"/>
    <mergeCell ref="Q31:R31"/>
    <mergeCell ref="S26:T26"/>
    <mergeCell ref="V26:W26"/>
    <mergeCell ref="Y26:Z26"/>
    <mergeCell ref="O27:Q29"/>
    <mergeCell ref="R27:R29"/>
    <mergeCell ref="S27:T29"/>
    <mergeCell ref="U27:U29"/>
    <mergeCell ref="V27:W29"/>
    <mergeCell ref="X27:X29"/>
    <mergeCell ref="Y27:Z29"/>
    <mergeCell ref="Y24:Z24"/>
    <mergeCell ref="B25:C25"/>
    <mergeCell ref="D25:F25"/>
    <mergeCell ref="I25:J25"/>
    <mergeCell ref="K25:L25"/>
    <mergeCell ref="M25:N25"/>
    <mergeCell ref="O25:P25"/>
    <mergeCell ref="S25:T25"/>
    <mergeCell ref="V25:W25"/>
    <mergeCell ref="Y25:Z25"/>
    <mergeCell ref="B24:C24"/>
    <mergeCell ref="D24:F24"/>
    <mergeCell ref="I24:J24"/>
    <mergeCell ref="K24:L24"/>
    <mergeCell ref="M24:N24"/>
    <mergeCell ref="O24:P24"/>
    <mergeCell ref="S24:T24"/>
    <mergeCell ref="V24:W24"/>
    <mergeCell ref="B26:C26"/>
    <mergeCell ref="D26:F26"/>
    <mergeCell ref="I26:J26"/>
    <mergeCell ref="K26:L26"/>
    <mergeCell ref="M26:N26"/>
    <mergeCell ref="O26:P26"/>
    <mergeCell ref="S22:T22"/>
    <mergeCell ref="V22:W22"/>
    <mergeCell ref="Y22:Z22"/>
    <mergeCell ref="B23:C23"/>
    <mergeCell ref="D23:F23"/>
    <mergeCell ref="I23:J23"/>
    <mergeCell ref="K23:L23"/>
    <mergeCell ref="M23:N23"/>
    <mergeCell ref="O23:P23"/>
    <mergeCell ref="S23:T23"/>
    <mergeCell ref="B22:C22"/>
    <mergeCell ref="D22:F22"/>
    <mergeCell ref="I22:J22"/>
    <mergeCell ref="K22:L22"/>
    <mergeCell ref="M22:N22"/>
    <mergeCell ref="O22:P22"/>
    <mergeCell ref="V23:W23"/>
    <mergeCell ref="Y23:Z23"/>
    <mergeCell ref="B21:C21"/>
    <mergeCell ref="D21:F21"/>
    <mergeCell ref="I21:J21"/>
    <mergeCell ref="K21:L21"/>
    <mergeCell ref="M21:N21"/>
    <mergeCell ref="O21:P21"/>
    <mergeCell ref="S21:T21"/>
    <mergeCell ref="V21:W21"/>
    <mergeCell ref="Y21:Z21"/>
    <mergeCell ref="B20:C20"/>
    <mergeCell ref="D20:F20"/>
    <mergeCell ref="I20:J20"/>
    <mergeCell ref="K20:L20"/>
    <mergeCell ref="M20:N20"/>
    <mergeCell ref="O20:P20"/>
    <mergeCell ref="S20:T20"/>
    <mergeCell ref="V20:W20"/>
    <mergeCell ref="Y20:Z20"/>
    <mergeCell ref="S18:T18"/>
    <mergeCell ref="V18:W18"/>
    <mergeCell ref="Y18:Z18"/>
    <mergeCell ref="B19:C19"/>
    <mergeCell ref="D19:F19"/>
    <mergeCell ref="I19:J19"/>
    <mergeCell ref="K19:L19"/>
    <mergeCell ref="M19:N19"/>
    <mergeCell ref="O19:P19"/>
    <mergeCell ref="S19:T19"/>
    <mergeCell ref="B18:C18"/>
    <mergeCell ref="D18:F18"/>
    <mergeCell ref="I18:J18"/>
    <mergeCell ref="K18:L18"/>
    <mergeCell ref="M18:N18"/>
    <mergeCell ref="O18:P18"/>
    <mergeCell ref="V19:W19"/>
    <mergeCell ref="Y19:Z19"/>
    <mergeCell ref="B17:C17"/>
    <mergeCell ref="D17:F17"/>
    <mergeCell ref="I17:J17"/>
    <mergeCell ref="K17:L17"/>
    <mergeCell ref="M17:N17"/>
    <mergeCell ref="O17:P17"/>
    <mergeCell ref="S17:T17"/>
    <mergeCell ref="V17:W17"/>
    <mergeCell ref="Y17:Z17"/>
    <mergeCell ref="B16:C16"/>
    <mergeCell ref="D16:F16"/>
    <mergeCell ref="I16:J16"/>
    <mergeCell ref="K16:L16"/>
    <mergeCell ref="M16:N16"/>
    <mergeCell ref="O16:P16"/>
    <mergeCell ref="S16:T16"/>
    <mergeCell ref="V16:W16"/>
    <mergeCell ref="Y16:Z16"/>
    <mergeCell ref="S14:T14"/>
    <mergeCell ref="V14:W14"/>
    <mergeCell ref="Y14:Z14"/>
    <mergeCell ref="B15:C15"/>
    <mergeCell ref="D15:F15"/>
    <mergeCell ref="I15:J15"/>
    <mergeCell ref="K15:L15"/>
    <mergeCell ref="M15:N15"/>
    <mergeCell ref="O15:P15"/>
    <mergeCell ref="S15:T15"/>
    <mergeCell ref="B14:C14"/>
    <mergeCell ref="D14:F14"/>
    <mergeCell ref="I14:J14"/>
    <mergeCell ref="K14:L14"/>
    <mergeCell ref="M14:N14"/>
    <mergeCell ref="O14:P14"/>
    <mergeCell ref="V15:W15"/>
    <mergeCell ref="Y15:Z15"/>
    <mergeCell ref="B13:C13"/>
    <mergeCell ref="D13:F13"/>
    <mergeCell ref="I13:J13"/>
    <mergeCell ref="K13:L13"/>
    <mergeCell ref="M13:N13"/>
    <mergeCell ref="O13:P13"/>
    <mergeCell ref="S13:T13"/>
    <mergeCell ref="V13:W13"/>
    <mergeCell ref="Y13:Z13"/>
    <mergeCell ref="B12:C12"/>
    <mergeCell ref="D12:F12"/>
    <mergeCell ref="I12:J12"/>
    <mergeCell ref="K12:L12"/>
    <mergeCell ref="M12:N12"/>
    <mergeCell ref="O12:P12"/>
    <mergeCell ref="S12:T12"/>
    <mergeCell ref="V12:W12"/>
    <mergeCell ref="Y12:Z12"/>
    <mergeCell ref="S10:T10"/>
    <mergeCell ref="V10:W10"/>
    <mergeCell ref="Y10:Z10"/>
    <mergeCell ref="B11:C11"/>
    <mergeCell ref="D11:F11"/>
    <mergeCell ref="I11:J11"/>
    <mergeCell ref="K11:L11"/>
    <mergeCell ref="M11:N11"/>
    <mergeCell ref="O11:P11"/>
    <mergeCell ref="S11:T11"/>
    <mergeCell ref="B10:C10"/>
    <mergeCell ref="D10:F10"/>
    <mergeCell ref="I10:J10"/>
    <mergeCell ref="K10:L10"/>
    <mergeCell ref="M10:N10"/>
    <mergeCell ref="O10:P10"/>
    <mergeCell ref="V11:W11"/>
    <mergeCell ref="Y11:Z11"/>
    <mergeCell ref="AB5:AB9"/>
    <mergeCell ref="B6:C9"/>
    <mergeCell ref="D6:F9"/>
    <mergeCell ref="H6:H8"/>
    <mergeCell ref="R6:U6"/>
    <mergeCell ref="V6:Z6"/>
    <mergeCell ref="R7:S8"/>
    <mergeCell ref="U7:V8"/>
    <mergeCell ref="X7:Y8"/>
    <mergeCell ref="I9:J9"/>
    <mergeCell ref="A5:A9"/>
    <mergeCell ref="B5:H5"/>
    <mergeCell ref="I5:J7"/>
    <mergeCell ref="K5:L7"/>
    <mergeCell ref="M5:N7"/>
    <mergeCell ref="O5:P7"/>
    <mergeCell ref="Q5:Q7"/>
    <mergeCell ref="R5:Z5"/>
    <mergeCell ref="AA5:AA9"/>
    <mergeCell ref="K9:L9"/>
    <mergeCell ref="M9:N9"/>
    <mergeCell ref="O9:P9"/>
    <mergeCell ref="S9:T9"/>
    <mergeCell ref="V9:W9"/>
    <mergeCell ref="Y9:Z9"/>
    <mergeCell ref="A1:D1"/>
    <mergeCell ref="O2:Q3"/>
    <mergeCell ref="R2:S3"/>
    <mergeCell ref="T2:W2"/>
    <mergeCell ref="X2:Z2"/>
    <mergeCell ref="AA2:AA3"/>
    <mergeCell ref="T3:W3"/>
    <mergeCell ref="X3:Z3"/>
    <mergeCell ref="A4:AA4"/>
  </mergeCells>
  <printOptions horizontalCentered="1"/>
  <pageMargins left="0.15" right="0.14000000000000001" top="0.17" bottom="0.25" header="0.11" footer="0.1"/>
  <pageSetup paperSize="9" scale="47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V212"/>
  <sheetViews>
    <sheetView showGridLines="0" view="pageBreakPreview" topLeftCell="A24" zoomScale="190" zoomScaleSheetLayoutView="190" workbookViewId="0">
      <selection activeCell="E62" sqref="E62"/>
    </sheetView>
  </sheetViews>
  <sheetFormatPr defaultColWidth="9.08984375" defaultRowHeight="10"/>
  <cols>
    <col min="1" max="1" width="12.453125" style="2" customWidth="1"/>
    <col min="2" max="2" width="8.90625" style="2" customWidth="1"/>
    <col min="3" max="3" width="10.453125" style="2" customWidth="1"/>
    <col min="4" max="4" width="9.08984375" style="2"/>
    <col min="5" max="5" width="9.90625" style="2" customWidth="1"/>
    <col min="6" max="6" width="9.08984375" style="2"/>
    <col min="7" max="7" width="11.54296875" style="2" customWidth="1"/>
    <col min="8" max="9" width="9.08984375" style="2"/>
    <col min="10" max="10" width="14.453125" style="2" customWidth="1"/>
    <col min="11" max="16" width="0" style="2" hidden="1" customWidth="1"/>
    <col min="17" max="17" width="9.08984375" style="2" hidden="1" customWidth="1"/>
    <col min="18" max="18" width="11.453125" style="2" hidden="1" customWidth="1"/>
    <col min="19" max="19" width="0" style="2" hidden="1" customWidth="1"/>
    <col min="20" max="20" width="20.6328125" style="2" hidden="1" customWidth="1"/>
    <col min="21" max="16384" width="9.08984375" style="2"/>
  </cols>
  <sheetData>
    <row r="1" spans="1:21">
      <c r="A1" s="277" t="s">
        <v>79</v>
      </c>
      <c r="B1" s="277"/>
      <c r="C1" s="277"/>
      <c r="D1" s="277"/>
      <c r="E1" s="277"/>
      <c r="F1" s="277"/>
      <c r="G1" s="277"/>
      <c r="H1" s="277"/>
      <c r="I1" s="277"/>
      <c r="J1" s="277"/>
      <c r="K1" s="278" t="s">
        <v>79</v>
      </c>
      <c r="L1" s="278"/>
      <c r="M1" s="278"/>
      <c r="N1" s="278"/>
      <c r="O1" s="278"/>
      <c r="P1" s="278"/>
      <c r="Q1" s="278"/>
      <c r="R1" s="278"/>
      <c r="S1" s="278"/>
      <c r="T1" s="279"/>
    </row>
    <row r="2" spans="1:21">
      <c r="A2" s="277"/>
      <c r="B2" s="277"/>
      <c r="C2" s="277"/>
      <c r="D2" s="277"/>
      <c r="E2" s="277"/>
      <c r="F2" s="277"/>
      <c r="G2" s="277"/>
      <c r="H2" s="277"/>
      <c r="I2" s="277"/>
      <c r="J2" s="277"/>
      <c r="K2" s="280"/>
      <c r="L2" s="280"/>
      <c r="M2" s="280"/>
      <c r="N2" s="280"/>
      <c r="O2" s="280"/>
      <c r="P2" s="280"/>
      <c r="Q2" s="280"/>
      <c r="R2" s="280"/>
      <c r="S2" s="280"/>
      <c r="T2" s="281"/>
    </row>
    <row r="3" spans="1:21" ht="10.5">
      <c r="A3" s="282"/>
      <c r="B3" s="282"/>
      <c r="C3" s="282"/>
      <c r="D3" s="282"/>
      <c r="E3" s="282"/>
      <c r="F3" s="282"/>
      <c r="G3" s="282"/>
      <c r="H3" s="282"/>
      <c r="I3" s="282"/>
      <c r="J3" s="282"/>
      <c r="K3" s="283"/>
      <c r="L3" s="283"/>
      <c r="M3" s="283"/>
      <c r="N3" s="283"/>
      <c r="O3" s="283"/>
      <c r="P3" s="283"/>
      <c r="Q3" s="283"/>
      <c r="R3" s="283"/>
      <c r="S3" s="283"/>
      <c r="T3" s="284"/>
    </row>
    <row r="4" spans="1:21" ht="10.5">
      <c r="A4" s="264" t="s">
        <v>4</v>
      </c>
      <c r="B4" s="264"/>
      <c r="C4" s="34" t="s">
        <v>5</v>
      </c>
      <c r="D4" s="38">
        <f>'Annexure A'!E34</f>
        <v>790.15599999999995</v>
      </c>
      <c r="E4" s="35" t="s">
        <v>6</v>
      </c>
      <c r="F4" s="282" t="s">
        <v>7</v>
      </c>
      <c r="G4" s="282"/>
      <c r="H4" s="282"/>
      <c r="I4" s="282"/>
      <c r="J4" s="282"/>
      <c r="K4" s="3"/>
      <c r="L4" s="4" t="s">
        <v>8</v>
      </c>
      <c r="M4" s="5"/>
      <c r="N4" s="5"/>
      <c r="O4" s="5"/>
      <c r="P4" s="5"/>
      <c r="Q4" s="6">
        <f>G13</f>
        <v>971.8918799999999</v>
      </c>
      <c r="R4" s="5" t="s">
        <v>6</v>
      </c>
      <c r="S4" s="7"/>
      <c r="T4" s="8"/>
    </row>
    <row r="5" spans="1:21" ht="10.5">
      <c r="A5" s="264" t="s">
        <v>217</v>
      </c>
      <c r="B5" s="264"/>
      <c r="C5" s="34" t="s">
        <v>5</v>
      </c>
      <c r="D5" s="36">
        <f>D4*0.2</f>
        <v>158.03120000000001</v>
      </c>
      <c r="E5" s="35" t="s">
        <v>6</v>
      </c>
      <c r="F5" s="264"/>
      <c r="G5" s="264"/>
      <c r="H5" s="264"/>
      <c r="I5" s="264"/>
      <c r="J5" s="264"/>
      <c r="K5" s="3"/>
      <c r="L5" s="4" t="s">
        <v>9</v>
      </c>
      <c r="M5" s="5"/>
      <c r="N5" s="5"/>
      <c r="O5" s="5"/>
      <c r="P5" s="5"/>
      <c r="Q5" s="5">
        <v>2000</v>
      </c>
      <c r="R5" s="5" t="s">
        <v>6</v>
      </c>
      <c r="S5" s="7"/>
      <c r="T5" s="8"/>
    </row>
    <row r="6" spans="1:21" ht="10.5">
      <c r="A6" s="264" t="s">
        <v>10</v>
      </c>
      <c r="B6" s="264"/>
      <c r="C6" s="34" t="s">
        <v>5</v>
      </c>
      <c r="D6" s="36">
        <f>D4*0.03</f>
        <v>23.704679999999996</v>
      </c>
      <c r="E6" s="35" t="s">
        <v>6</v>
      </c>
      <c r="F6" s="275"/>
      <c r="G6" s="264"/>
      <c r="H6" s="264"/>
      <c r="I6" s="264"/>
      <c r="J6" s="264"/>
      <c r="K6" s="3"/>
      <c r="L6" s="4"/>
      <c r="M6" s="5"/>
      <c r="N6" s="5"/>
      <c r="O6" s="5"/>
      <c r="P6" s="5"/>
      <c r="Q6" s="5"/>
      <c r="R6" s="5"/>
      <c r="S6" s="7"/>
      <c r="T6" s="8"/>
    </row>
    <row r="7" spans="1:21" ht="10.5">
      <c r="A7" s="264"/>
      <c r="B7" s="264"/>
      <c r="C7" s="34"/>
      <c r="D7" s="38"/>
      <c r="E7" s="35"/>
      <c r="F7" s="276"/>
      <c r="G7" s="276"/>
      <c r="H7" s="276"/>
      <c r="I7" s="276"/>
      <c r="J7" s="276"/>
      <c r="K7" s="3"/>
      <c r="L7" s="5"/>
      <c r="M7" s="5"/>
      <c r="N7" s="5"/>
      <c r="O7" s="5"/>
      <c r="P7" s="5"/>
      <c r="Q7" s="5"/>
      <c r="R7" s="5"/>
      <c r="S7" s="7"/>
      <c r="T7" s="8"/>
    </row>
    <row r="8" spans="1:21" ht="10.5">
      <c r="A8" s="264" t="s">
        <v>2</v>
      </c>
      <c r="B8" s="264"/>
      <c r="C8" s="34" t="s">
        <v>5</v>
      </c>
      <c r="D8" s="38">
        <f>D4+D5+D6</f>
        <v>971.8918799999999</v>
      </c>
      <c r="E8" s="35" t="s">
        <v>6</v>
      </c>
      <c r="F8" s="264"/>
      <c r="G8" s="264"/>
      <c r="H8" s="264"/>
      <c r="I8" s="264"/>
      <c r="J8" s="264"/>
      <c r="K8" s="3"/>
      <c r="L8" s="1" t="s">
        <v>11</v>
      </c>
      <c r="M8" s="5"/>
      <c r="N8" s="5"/>
      <c r="O8" s="5"/>
      <c r="P8" s="5"/>
      <c r="Q8" s="5"/>
      <c r="R8" s="5"/>
      <c r="S8" s="7"/>
      <c r="T8" s="8"/>
      <c r="U8" s="2">
        <f>F8*0.8</f>
        <v>0</v>
      </c>
    </row>
    <row r="9" spans="1:21" ht="10.5">
      <c r="A9" s="34"/>
      <c r="B9" s="34"/>
      <c r="C9" s="34"/>
      <c r="D9" s="34"/>
      <c r="E9" s="34"/>
      <c r="F9" s="264"/>
      <c r="G9" s="264"/>
      <c r="H9" s="264"/>
      <c r="I9" s="264"/>
      <c r="J9" s="264"/>
      <c r="K9" s="7"/>
      <c r="L9" s="5"/>
      <c r="M9" s="5"/>
      <c r="N9" s="5"/>
      <c r="O9" s="5"/>
      <c r="P9" s="5"/>
      <c r="Q9" s="5"/>
      <c r="R9" s="5"/>
      <c r="S9" s="7"/>
      <c r="T9" s="8"/>
    </row>
    <row r="10" spans="1:21" ht="10.5">
      <c r="A10" s="264" t="s">
        <v>12</v>
      </c>
      <c r="B10" s="264"/>
      <c r="C10" s="35" t="s">
        <v>13</v>
      </c>
      <c r="D10" s="35" t="s">
        <v>0</v>
      </c>
      <c r="E10" s="38">
        <v>0.85</v>
      </c>
      <c r="F10" s="264" t="s">
        <v>14</v>
      </c>
      <c r="G10" s="264"/>
      <c r="H10" s="264"/>
      <c r="I10" s="264"/>
      <c r="J10" s="264"/>
      <c r="K10" s="7"/>
      <c r="L10" s="7" t="s">
        <v>15</v>
      </c>
      <c r="M10" s="5"/>
      <c r="N10" s="4" t="s">
        <v>16</v>
      </c>
      <c r="O10" s="5"/>
      <c r="P10" s="5"/>
      <c r="Q10" s="5"/>
      <c r="R10" s="5"/>
      <c r="S10" s="7"/>
      <c r="T10" s="8"/>
    </row>
    <row r="11" spans="1:21" ht="10.5">
      <c r="A11" s="264" t="s">
        <v>17</v>
      </c>
      <c r="B11" s="264"/>
      <c r="C11" s="35" t="s">
        <v>18</v>
      </c>
      <c r="D11" s="35" t="s">
        <v>0</v>
      </c>
      <c r="E11" s="38">
        <f>SIN(ACOS(E10))</f>
        <v>0.52678268764263692</v>
      </c>
      <c r="F11" s="264"/>
      <c r="G11" s="264"/>
      <c r="H11" s="264"/>
      <c r="I11" s="264"/>
      <c r="J11" s="264"/>
      <c r="K11" s="7"/>
      <c r="L11" s="7" t="s">
        <v>19</v>
      </c>
      <c r="M11" s="5"/>
      <c r="N11" s="4" t="s">
        <v>20</v>
      </c>
      <c r="O11" s="5"/>
      <c r="P11" s="5"/>
      <c r="Q11" s="5"/>
      <c r="R11" s="5"/>
      <c r="S11" s="7"/>
      <c r="T11" s="8"/>
    </row>
    <row r="12" spans="1:21" ht="10.5">
      <c r="A12" s="263"/>
      <c r="B12" s="263"/>
      <c r="C12" s="263"/>
      <c r="D12" s="263"/>
      <c r="E12" s="263"/>
      <c r="F12" s="263"/>
      <c r="G12" s="263"/>
      <c r="H12" s="263"/>
      <c r="I12" s="263"/>
      <c r="J12" s="263"/>
      <c r="K12" s="7"/>
      <c r="L12" s="7" t="s">
        <v>21</v>
      </c>
      <c r="M12" s="5"/>
      <c r="N12" s="4" t="s">
        <v>22</v>
      </c>
      <c r="O12" s="5"/>
      <c r="P12" s="5"/>
      <c r="Q12" s="5"/>
      <c r="R12" s="5"/>
      <c r="S12" s="7"/>
      <c r="T12" s="8"/>
    </row>
    <row r="13" spans="1:21" ht="10.5">
      <c r="A13" s="263" t="s">
        <v>23</v>
      </c>
      <c r="B13" s="263"/>
      <c r="C13" s="263" t="s">
        <v>6</v>
      </c>
      <c r="D13" s="263" t="s">
        <v>0</v>
      </c>
      <c r="E13" s="274"/>
      <c r="F13" s="263"/>
      <c r="G13" s="274">
        <f>D8</f>
        <v>971.8918799999999</v>
      </c>
      <c r="H13" s="263" t="s">
        <v>6</v>
      </c>
      <c r="I13" s="263"/>
      <c r="J13" s="263"/>
      <c r="K13" s="3"/>
      <c r="L13" s="7" t="s">
        <v>24</v>
      </c>
      <c r="M13" s="5"/>
      <c r="N13" s="4" t="s">
        <v>25</v>
      </c>
      <c r="O13" s="5"/>
      <c r="P13" s="5"/>
      <c r="Q13" s="5"/>
      <c r="R13" s="5"/>
      <c r="S13" s="7"/>
      <c r="T13" s="8"/>
      <c r="U13" s="2" t="s">
        <v>218</v>
      </c>
    </row>
    <row r="14" spans="1:21" ht="11" thickBot="1">
      <c r="A14" s="263"/>
      <c r="B14" s="263"/>
      <c r="C14" s="263"/>
      <c r="D14" s="263"/>
      <c r="E14" s="274"/>
      <c r="F14" s="263"/>
      <c r="G14" s="274"/>
      <c r="H14" s="263"/>
      <c r="I14" s="263"/>
      <c r="J14" s="263"/>
      <c r="K14" s="7"/>
      <c r="L14" s="5"/>
      <c r="M14" s="5"/>
      <c r="N14" s="5"/>
      <c r="O14" s="5"/>
      <c r="P14" s="5"/>
      <c r="Q14" s="5"/>
      <c r="R14" s="5"/>
      <c r="S14" s="7"/>
      <c r="T14" s="8"/>
    </row>
    <row r="15" spans="1:21" ht="11" thickBot="1">
      <c r="A15" s="263"/>
      <c r="B15" s="263"/>
      <c r="C15" s="263"/>
      <c r="D15" s="263"/>
      <c r="E15" s="263"/>
      <c r="F15" s="263"/>
      <c r="G15" s="263"/>
      <c r="H15" s="263"/>
      <c r="I15" s="263"/>
      <c r="J15" s="263"/>
      <c r="K15" s="7"/>
      <c r="L15" s="272" t="s">
        <v>26</v>
      </c>
      <c r="M15" s="273" t="s">
        <v>15</v>
      </c>
      <c r="N15" s="271" t="s">
        <v>0</v>
      </c>
      <c r="O15" s="12" t="s">
        <v>27</v>
      </c>
      <c r="P15" s="5" t="s">
        <v>28</v>
      </c>
      <c r="Q15" s="273" t="s">
        <v>19</v>
      </c>
      <c r="R15" s="271" t="s">
        <v>0</v>
      </c>
      <c r="S15" s="13" t="s">
        <v>29</v>
      </c>
      <c r="T15" s="8"/>
    </row>
    <row r="16" spans="1:21" ht="11" thickBot="1">
      <c r="A16" s="264" t="s">
        <v>175</v>
      </c>
      <c r="B16" s="264"/>
      <c r="C16" s="264"/>
      <c r="D16" s="35" t="s">
        <v>0</v>
      </c>
      <c r="E16" s="263" t="s">
        <v>30</v>
      </c>
      <c r="F16" s="263"/>
      <c r="G16" s="263"/>
      <c r="H16" s="264"/>
      <c r="I16" s="264"/>
      <c r="J16" s="33"/>
      <c r="K16" s="7"/>
      <c r="L16" s="272"/>
      <c r="M16" s="273"/>
      <c r="N16" s="271"/>
      <c r="O16" s="14" t="s">
        <v>31</v>
      </c>
      <c r="P16" s="5"/>
      <c r="Q16" s="273"/>
      <c r="R16" s="271"/>
      <c r="S16" s="15" t="s">
        <v>31</v>
      </c>
      <c r="T16" s="8"/>
    </row>
    <row r="17" spans="1:20" ht="10.5">
      <c r="A17" s="263"/>
      <c r="B17" s="263"/>
      <c r="C17" s="263"/>
      <c r="D17" s="35" t="s">
        <v>0</v>
      </c>
      <c r="E17" s="38">
        <f>G13*E10</f>
        <v>826.10809799999993</v>
      </c>
      <c r="F17" s="35" t="s">
        <v>32</v>
      </c>
      <c r="G17" s="37">
        <f>G13*E11</f>
        <v>511.97581664445511</v>
      </c>
      <c r="H17" s="264" t="s">
        <v>6</v>
      </c>
      <c r="I17" s="264"/>
      <c r="J17" s="33" t="s">
        <v>33</v>
      </c>
      <c r="K17" s="7"/>
      <c r="L17" s="5"/>
      <c r="M17" s="5"/>
      <c r="N17" s="5"/>
      <c r="O17" s="5"/>
      <c r="P17" s="5"/>
      <c r="Q17" s="5"/>
      <c r="R17" s="5"/>
      <c r="S17" s="7"/>
      <c r="T17" s="8"/>
    </row>
    <row r="18" spans="1:20" ht="10.5">
      <c r="A18" s="263"/>
      <c r="B18" s="263"/>
      <c r="C18" s="263"/>
      <c r="D18" s="263"/>
      <c r="E18" s="263"/>
      <c r="F18" s="263"/>
      <c r="G18" s="263"/>
      <c r="H18" s="263"/>
      <c r="I18" s="263"/>
      <c r="J18" s="263"/>
      <c r="K18" s="7"/>
      <c r="L18" s="7" t="s">
        <v>27</v>
      </c>
      <c r="M18" s="5"/>
      <c r="N18" s="4" t="s">
        <v>34</v>
      </c>
      <c r="O18" s="5"/>
      <c r="P18" s="5"/>
      <c r="Q18" s="5" t="s">
        <v>0</v>
      </c>
      <c r="R18" s="16">
        <f>Q4</f>
        <v>971.8918799999999</v>
      </c>
      <c r="S18" s="7" t="s">
        <v>6</v>
      </c>
      <c r="T18" s="8"/>
    </row>
    <row r="19" spans="1:20" ht="10.5">
      <c r="A19" s="264" t="s">
        <v>35</v>
      </c>
      <c r="B19" s="264"/>
      <c r="C19" s="264"/>
      <c r="D19" s="35" t="s">
        <v>0</v>
      </c>
      <c r="E19" s="35">
        <v>160</v>
      </c>
      <c r="F19" s="35" t="s">
        <v>36</v>
      </c>
      <c r="G19" s="264" t="s">
        <v>80</v>
      </c>
      <c r="H19" s="264"/>
      <c r="I19" s="264"/>
      <c r="J19" s="264"/>
      <c r="K19" s="7"/>
      <c r="L19" s="7" t="s">
        <v>31</v>
      </c>
      <c r="M19" s="5"/>
      <c r="N19" s="4" t="s">
        <v>37</v>
      </c>
      <c r="O19" s="5"/>
      <c r="P19" s="5"/>
      <c r="Q19" s="5" t="s">
        <v>0</v>
      </c>
      <c r="R19" s="5">
        <f>Q5</f>
        <v>2000</v>
      </c>
      <c r="S19" s="7" t="s">
        <v>6</v>
      </c>
      <c r="T19" s="8"/>
    </row>
    <row r="20" spans="1:20" ht="10.5">
      <c r="A20" s="264" t="s">
        <v>176</v>
      </c>
      <c r="B20" s="264"/>
      <c r="C20" s="264"/>
      <c r="D20" s="35" t="s">
        <v>0</v>
      </c>
      <c r="E20" s="38">
        <f>E19/(1.732*0.4*0.85*0.95)</f>
        <v>286.00233091899696</v>
      </c>
      <c r="F20" s="35" t="s">
        <v>38</v>
      </c>
      <c r="G20" s="264"/>
      <c r="H20" s="264"/>
      <c r="I20" s="264"/>
      <c r="J20" s="264"/>
      <c r="K20" s="7"/>
      <c r="L20" s="7" t="s">
        <v>15</v>
      </c>
      <c r="M20" s="5"/>
      <c r="N20" s="5"/>
      <c r="O20" s="5"/>
      <c r="P20" s="5"/>
      <c r="Q20" s="5" t="s">
        <v>0</v>
      </c>
      <c r="R20" s="16">
        <f>R18/R19</f>
        <v>0.48594593999999997</v>
      </c>
      <c r="S20" s="7" t="s">
        <v>6</v>
      </c>
      <c r="T20" s="8"/>
    </row>
    <row r="21" spans="1:20" ht="10.5">
      <c r="A21" s="33" t="s">
        <v>39</v>
      </c>
      <c r="B21" s="35">
        <f>E19</f>
        <v>160</v>
      </c>
      <c r="C21" s="33" t="s">
        <v>40</v>
      </c>
      <c r="D21" s="35" t="s">
        <v>0</v>
      </c>
      <c r="E21" s="38">
        <v>0.85</v>
      </c>
      <c r="F21" s="35" t="s">
        <v>41</v>
      </c>
      <c r="G21" s="264"/>
      <c r="H21" s="264"/>
      <c r="I21" s="264"/>
      <c r="J21" s="264"/>
      <c r="K21" s="7"/>
      <c r="L21" s="5"/>
      <c r="M21" s="5"/>
      <c r="N21" s="5"/>
      <c r="O21" s="5"/>
      <c r="P21" s="5"/>
      <c r="Q21" s="5"/>
      <c r="R21" s="16"/>
      <c r="S21" s="7"/>
      <c r="T21" s="8"/>
    </row>
    <row r="22" spans="1:20" ht="10.5">
      <c r="A22" s="264" t="s">
        <v>42</v>
      </c>
      <c r="B22" s="264"/>
      <c r="C22" s="264"/>
      <c r="D22" s="35" t="s">
        <v>0</v>
      </c>
      <c r="E22" s="38">
        <f>SIN(ACOS(E21))</f>
        <v>0.52678268764263692</v>
      </c>
      <c r="F22" s="35"/>
      <c r="G22" s="263"/>
      <c r="H22" s="263"/>
      <c r="I22" s="263"/>
      <c r="J22" s="263"/>
      <c r="K22" s="7"/>
      <c r="L22" s="5"/>
      <c r="M22" s="5"/>
      <c r="N22" s="5"/>
      <c r="O22" s="5"/>
      <c r="P22" s="5"/>
      <c r="Q22" s="5"/>
      <c r="R22" s="5"/>
      <c r="S22" s="7"/>
      <c r="T22" s="8"/>
    </row>
    <row r="23" spans="1:20" ht="10.5">
      <c r="A23" s="264" t="s">
        <v>43</v>
      </c>
      <c r="B23" s="264"/>
      <c r="C23" s="264"/>
      <c r="D23" s="35" t="s">
        <v>0</v>
      </c>
      <c r="E23" s="38">
        <f>E19/(E21*0.95)</f>
        <v>198.14241486068113</v>
      </c>
      <c r="F23" s="35" t="s">
        <v>6</v>
      </c>
      <c r="G23" s="263"/>
      <c r="H23" s="263"/>
      <c r="I23" s="263"/>
      <c r="J23" s="263"/>
      <c r="K23" s="7"/>
      <c r="L23" s="4" t="s">
        <v>44</v>
      </c>
      <c r="M23" s="5"/>
      <c r="N23" s="5"/>
      <c r="O23" s="5"/>
      <c r="P23" s="5"/>
      <c r="Q23" s="5"/>
      <c r="R23" s="5"/>
      <c r="S23" s="7"/>
      <c r="T23" s="8"/>
    </row>
    <row r="24" spans="1:20" ht="10.5">
      <c r="A24" s="263"/>
      <c r="B24" s="263"/>
      <c r="C24" s="263"/>
      <c r="D24" s="263"/>
      <c r="E24" s="263"/>
      <c r="F24" s="263"/>
      <c r="G24" s="263"/>
      <c r="H24" s="263"/>
      <c r="I24" s="263"/>
      <c r="J24" s="263"/>
      <c r="K24" s="7"/>
      <c r="L24" s="4" t="s">
        <v>45</v>
      </c>
      <c r="M24" s="5"/>
      <c r="N24" s="5"/>
      <c r="O24" s="5"/>
      <c r="P24" s="5"/>
      <c r="Q24" s="5"/>
      <c r="R24" s="5"/>
      <c r="S24" s="7"/>
      <c r="T24" s="8"/>
    </row>
    <row r="25" spans="1:20" ht="10.5">
      <c r="A25" s="270" t="s">
        <v>88</v>
      </c>
      <c r="B25" s="270"/>
      <c r="C25" s="270"/>
      <c r="D25" s="35" t="s">
        <v>0</v>
      </c>
      <c r="E25" s="263" t="s">
        <v>30</v>
      </c>
      <c r="F25" s="263"/>
      <c r="G25" s="263"/>
      <c r="H25" s="264"/>
      <c r="I25" s="264"/>
      <c r="J25" s="33"/>
      <c r="K25" s="7"/>
      <c r="L25" s="5"/>
      <c r="M25" s="5"/>
      <c r="N25" s="5"/>
      <c r="O25" s="5"/>
      <c r="P25" s="5"/>
      <c r="Q25" s="5"/>
      <c r="R25" s="5"/>
      <c r="S25" s="7"/>
      <c r="T25" s="8"/>
    </row>
    <row r="26" spans="1:20" ht="10.5">
      <c r="A26" s="263"/>
      <c r="B26" s="263"/>
      <c r="C26" s="263"/>
      <c r="D26" s="35" t="s">
        <v>0</v>
      </c>
      <c r="E26" s="35">
        <f>E23*E21</f>
        <v>168.42105263157896</v>
      </c>
      <c r="F26" s="35" t="s">
        <v>32</v>
      </c>
      <c r="G26" s="37">
        <f>E23*E22</f>
        <v>104.37799383631197</v>
      </c>
      <c r="H26" s="264" t="s">
        <v>6</v>
      </c>
      <c r="I26" s="264"/>
      <c r="J26" s="33" t="s">
        <v>46</v>
      </c>
      <c r="K26" s="7"/>
      <c r="L26" s="5" t="s">
        <v>47</v>
      </c>
      <c r="M26" s="7" t="s">
        <v>21</v>
      </c>
      <c r="N26" s="5" t="s">
        <v>0</v>
      </c>
      <c r="O26" s="5">
        <v>2</v>
      </c>
      <c r="P26" s="5" t="s">
        <v>48</v>
      </c>
      <c r="Q26" s="5"/>
      <c r="R26" s="5"/>
      <c r="S26" s="7"/>
      <c r="T26" s="8"/>
    </row>
    <row r="27" spans="1:20" ht="10.5">
      <c r="A27" s="263"/>
      <c r="B27" s="263"/>
      <c r="C27" s="263"/>
      <c r="D27" s="263"/>
      <c r="E27" s="263"/>
      <c r="F27" s="263"/>
      <c r="G27" s="263"/>
      <c r="H27" s="263"/>
      <c r="I27" s="263"/>
      <c r="J27" s="263"/>
      <c r="K27" s="7"/>
      <c r="L27" s="5"/>
      <c r="M27" s="5"/>
      <c r="N27" s="5"/>
      <c r="O27" s="5"/>
      <c r="P27" s="5"/>
      <c r="Q27" s="5"/>
      <c r="R27" s="5"/>
      <c r="S27" s="7"/>
      <c r="T27" s="8"/>
    </row>
    <row r="28" spans="1:20" ht="10.5">
      <c r="A28" s="263" t="s">
        <v>49</v>
      </c>
      <c r="B28" s="263"/>
      <c r="C28" s="263"/>
      <c r="D28" s="35" t="s">
        <v>0</v>
      </c>
      <c r="E28" s="38">
        <f>E17-E26</f>
        <v>657.68704536842097</v>
      </c>
      <c r="F28" s="35" t="s">
        <v>32</v>
      </c>
      <c r="G28" s="37">
        <f>G17-G26</f>
        <v>407.59782280814312</v>
      </c>
      <c r="H28" s="264" t="s">
        <v>6</v>
      </c>
      <c r="I28" s="264"/>
      <c r="J28" s="33" t="s">
        <v>50</v>
      </c>
      <c r="K28" s="7"/>
      <c r="L28" s="4" t="s">
        <v>51</v>
      </c>
      <c r="M28" s="5"/>
      <c r="N28" s="5"/>
      <c r="O28" s="5"/>
      <c r="P28" s="5"/>
      <c r="Q28" s="5"/>
      <c r="R28" s="5"/>
      <c r="S28" s="7"/>
      <c r="T28" s="8"/>
    </row>
    <row r="29" spans="1:20" ht="10.5">
      <c r="A29" s="35"/>
      <c r="B29" s="35"/>
      <c r="C29" s="35"/>
      <c r="D29" s="35"/>
      <c r="E29" s="35"/>
      <c r="F29" s="35"/>
      <c r="G29" s="35"/>
      <c r="H29" s="263"/>
      <c r="I29" s="263"/>
      <c r="J29" s="35"/>
      <c r="K29" s="7"/>
      <c r="L29" s="5"/>
      <c r="M29" s="5"/>
      <c r="N29" s="5"/>
      <c r="O29" s="5"/>
      <c r="P29" s="5"/>
      <c r="Q29" s="5"/>
      <c r="R29" s="5"/>
      <c r="S29" s="7"/>
      <c r="T29" s="8"/>
    </row>
    <row r="30" spans="1:20" ht="10.5">
      <c r="A30" s="264" t="s">
        <v>52</v>
      </c>
      <c r="B30" s="264"/>
      <c r="C30" s="264"/>
      <c r="D30" s="35" t="s">
        <v>0</v>
      </c>
      <c r="E30" s="263" t="s">
        <v>53</v>
      </c>
      <c r="F30" s="263"/>
      <c r="G30" s="264"/>
      <c r="H30" s="264"/>
      <c r="I30" s="264"/>
      <c r="J30" s="264"/>
      <c r="K30" s="7"/>
      <c r="L30" s="5" t="s">
        <v>47</v>
      </c>
      <c r="M30" s="7" t="s">
        <v>24</v>
      </c>
      <c r="N30" s="5" t="s">
        <v>0</v>
      </c>
      <c r="O30" s="5">
        <v>35</v>
      </c>
      <c r="P30" s="5" t="s">
        <v>54</v>
      </c>
      <c r="Q30" s="5"/>
      <c r="R30" s="5"/>
      <c r="S30" s="7"/>
      <c r="T30" s="8"/>
    </row>
    <row r="31" spans="1:20" ht="10.5">
      <c r="A31" s="264" t="s">
        <v>55</v>
      </c>
      <c r="B31" s="264"/>
      <c r="C31" s="264"/>
      <c r="D31" s="35" t="s">
        <v>0</v>
      </c>
      <c r="E31" s="38">
        <f>E20*6</f>
        <v>1716.0139855139819</v>
      </c>
      <c r="F31" s="35" t="s">
        <v>38</v>
      </c>
      <c r="G31" s="264" t="s">
        <v>82</v>
      </c>
      <c r="H31" s="264"/>
      <c r="I31" s="264"/>
      <c r="J31" s="264"/>
      <c r="K31" s="7"/>
      <c r="L31" s="5"/>
      <c r="M31" s="5"/>
      <c r="N31" s="5"/>
      <c r="O31" s="5"/>
      <c r="P31" s="5"/>
      <c r="Q31" s="5"/>
      <c r="R31" s="5"/>
      <c r="S31" s="7"/>
      <c r="T31" s="8"/>
    </row>
    <row r="32" spans="1:20" ht="10.5">
      <c r="A32" s="269" t="s">
        <v>56</v>
      </c>
      <c r="B32" s="269"/>
      <c r="C32" s="269"/>
      <c r="D32" s="43" t="s">
        <v>0</v>
      </c>
      <c r="E32" s="43">
        <v>0.2</v>
      </c>
      <c r="F32" s="35" t="s">
        <v>41</v>
      </c>
      <c r="G32" s="263"/>
      <c r="H32" s="263"/>
      <c r="I32" s="263"/>
      <c r="J32" s="263"/>
      <c r="K32" s="7"/>
      <c r="L32" s="4"/>
      <c r="M32" s="5"/>
      <c r="N32" s="5"/>
      <c r="O32" s="5"/>
      <c r="P32" s="5"/>
      <c r="Q32" s="5"/>
      <c r="R32" s="5"/>
      <c r="S32" s="7"/>
      <c r="T32" s="8"/>
    </row>
    <row r="33" spans="1:22" ht="10.5">
      <c r="A33" s="264" t="s">
        <v>42</v>
      </c>
      <c r="B33" s="264"/>
      <c r="C33" s="264"/>
      <c r="D33" s="35" t="s">
        <v>0</v>
      </c>
      <c r="E33" s="38">
        <f>SIN(ACOS(E32))</f>
        <v>0.9797958971132712</v>
      </c>
      <c r="F33" s="35"/>
      <c r="G33" s="263"/>
      <c r="H33" s="263"/>
      <c r="I33" s="263"/>
      <c r="J33" s="263"/>
      <c r="K33" s="7"/>
      <c r="L33" s="1" t="s">
        <v>57</v>
      </c>
      <c r="M33" s="5"/>
      <c r="N33" s="5"/>
      <c r="O33" s="5"/>
      <c r="P33" s="5"/>
      <c r="Q33" s="5"/>
      <c r="R33" s="5"/>
      <c r="S33" s="7"/>
      <c r="T33" s="8"/>
    </row>
    <row r="34" spans="1:22" ht="10.5">
      <c r="A34" s="35"/>
      <c r="B34" s="35"/>
      <c r="C34" s="35"/>
      <c r="D34" s="39"/>
      <c r="E34" s="35"/>
      <c r="F34" s="35"/>
      <c r="G34" s="35"/>
      <c r="H34" s="35"/>
      <c r="I34" s="35"/>
      <c r="J34" s="35"/>
      <c r="K34" s="7"/>
      <c r="L34" s="5" t="s">
        <v>19</v>
      </c>
      <c r="M34" s="5" t="s">
        <v>0</v>
      </c>
      <c r="N34" s="5">
        <v>1.29</v>
      </c>
      <c r="O34" s="5"/>
      <c r="P34" s="5"/>
      <c r="Q34" s="5"/>
      <c r="R34" s="5"/>
      <c r="S34" s="7"/>
      <c r="T34" s="8"/>
    </row>
    <row r="35" spans="1:22" ht="10.5">
      <c r="A35" s="264" t="s">
        <v>58</v>
      </c>
      <c r="B35" s="264"/>
      <c r="C35" s="264"/>
      <c r="D35" s="35" t="s">
        <v>0</v>
      </c>
      <c r="E35" s="263" t="s">
        <v>59</v>
      </c>
      <c r="F35" s="263"/>
      <c r="G35" s="263"/>
      <c r="H35" s="263"/>
      <c r="I35" s="264"/>
      <c r="J35" s="264"/>
      <c r="K35" s="7"/>
      <c r="L35" s="5"/>
      <c r="M35" s="5"/>
      <c r="N35" s="18"/>
      <c r="O35" s="5"/>
      <c r="P35" s="5"/>
      <c r="Q35" s="5"/>
      <c r="R35" s="5"/>
      <c r="S35" s="7"/>
      <c r="T35" s="8"/>
    </row>
    <row r="36" spans="1:22" ht="10.5">
      <c r="A36" s="263"/>
      <c r="B36" s="263"/>
      <c r="C36" s="263"/>
      <c r="D36" s="35" t="s">
        <v>0</v>
      </c>
      <c r="E36" s="40">
        <f>E31*E32</f>
        <v>343.20279710279641</v>
      </c>
      <c r="F36" s="35" t="s">
        <v>32</v>
      </c>
      <c r="G36" s="41">
        <f>E31*E33</f>
        <v>1681.3434623955918</v>
      </c>
      <c r="H36" s="35"/>
      <c r="I36" s="264" t="s">
        <v>38</v>
      </c>
      <c r="J36" s="264"/>
      <c r="K36" s="7" t="s">
        <v>23</v>
      </c>
      <c r="L36" s="5" t="s">
        <v>29</v>
      </c>
      <c r="M36" s="5" t="s">
        <v>0</v>
      </c>
      <c r="N36" s="5" t="s">
        <v>60</v>
      </c>
      <c r="O36" s="5" t="s">
        <v>0</v>
      </c>
      <c r="P36" s="16">
        <f>1583*N34</f>
        <v>2042.0700000000002</v>
      </c>
      <c r="Q36" s="5" t="s">
        <v>6</v>
      </c>
      <c r="R36" s="5"/>
      <c r="S36" s="7"/>
      <c r="T36" s="8"/>
    </row>
    <row r="37" spans="1:22" ht="10.5">
      <c r="A37" s="264" t="s">
        <v>61</v>
      </c>
      <c r="B37" s="264"/>
      <c r="C37" s="264"/>
      <c r="D37" s="35" t="s">
        <v>0</v>
      </c>
      <c r="E37" s="263" t="s">
        <v>177</v>
      </c>
      <c r="F37" s="263"/>
      <c r="G37" s="263"/>
      <c r="H37" s="263"/>
      <c r="I37" s="264"/>
      <c r="J37" s="264"/>
      <c r="K37" s="7"/>
      <c r="L37" s="7"/>
      <c r="M37" s="7"/>
      <c r="N37" s="7"/>
      <c r="O37" s="7"/>
      <c r="P37" s="7"/>
      <c r="Q37" s="7"/>
      <c r="R37" s="7"/>
      <c r="S37" s="7"/>
      <c r="T37" s="8"/>
    </row>
    <row r="38" spans="1:22" ht="10.5">
      <c r="A38" s="263"/>
      <c r="B38" s="263"/>
      <c r="C38" s="263"/>
      <c r="D38" s="35" t="s">
        <v>0</v>
      </c>
      <c r="E38" s="38">
        <f>1.732*0.4*E36</f>
        <v>237.77089783281738</v>
      </c>
      <c r="F38" s="35" t="s">
        <v>32</v>
      </c>
      <c r="G38" s="38">
        <f>1.732*0.4*G36</f>
        <v>1164.8347507476662</v>
      </c>
      <c r="H38" s="35"/>
      <c r="I38" s="33" t="s">
        <v>6</v>
      </c>
      <c r="J38" s="33" t="s">
        <v>62</v>
      </c>
      <c r="K38" s="4" t="s">
        <v>63</v>
      </c>
      <c r="L38" s="3"/>
      <c r="M38" s="7"/>
      <c r="N38" s="7"/>
      <c r="O38" s="7"/>
      <c r="P38" s="7">
        <f>(P36/Q5)*100</f>
        <v>102.10350000000001</v>
      </c>
      <c r="Q38" s="3" t="s">
        <v>64</v>
      </c>
      <c r="S38" s="7"/>
      <c r="T38" s="8"/>
      <c r="V38" s="155">
        <f>SQRT(E38*E38+G38*G38)</f>
        <v>1188.8544891640868</v>
      </c>
    </row>
    <row r="39" spans="1:22" ht="10.5">
      <c r="A39" s="35"/>
      <c r="B39" s="35"/>
      <c r="C39" s="35"/>
      <c r="D39" s="35" t="s">
        <v>65</v>
      </c>
      <c r="E39" s="35"/>
      <c r="F39" s="35"/>
      <c r="G39" s="35"/>
      <c r="H39" s="35"/>
      <c r="I39" s="35"/>
      <c r="J39" s="35"/>
      <c r="K39" s="3" t="s">
        <v>66</v>
      </c>
      <c r="L39" s="3"/>
      <c r="M39" s="7"/>
      <c r="N39" s="7"/>
      <c r="O39" s="7"/>
      <c r="P39" s="7"/>
      <c r="Q39" s="7"/>
      <c r="R39" s="7"/>
      <c r="S39" s="7"/>
      <c r="T39" s="8"/>
    </row>
    <row r="40" spans="1:22" ht="10.5">
      <c r="A40" s="263" t="s">
        <v>67</v>
      </c>
      <c r="B40" s="263"/>
      <c r="C40" s="263"/>
      <c r="D40" s="35" t="s">
        <v>0</v>
      </c>
      <c r="E40" s="38">
        <f>E28+E38</f>
        <v>895.45794320123832</v>
      </c>
      <c r="F40" s="35" t="s">
        <v>32</v>
      </c>
      <c r="G40" s="37">
        <f>G28+G38</f>
        <v>1572.4325735558093</v>
      </c>
      <c r="H40" s="264" t="s">
        <v>6</v>
      </c>
      <c r="I40" s="264"/>
      <c r="J40" s="33" t="s">
        <v>68</v>
      </c>
      <c r="K40" s="3" t="s">
        <v>69</v>
      </c>
      <c r="L40" s="7"/>
      <c r="M40" s="7"/>
      <c r="N40" s="7"/>
      <c r="O40" s="7"/>
      <c r="P40" s="7"/>
      <c r="Q40" s="7"/>
      <c r="R40" s="7"/>
      <c r="S40" s="7"/>
      <c r="T40" s="8"/>
    </row>
    <row r="41" spans="1:22" ht="10.5">
      <c r="A41" s="263"/>
      <c r="B41" s="263"/>
      <c r="C41" s="263"/>
      <c r="D41" s="35" t="s">
        <v>0</v>
      </c>
      <c r="E41" s="265">
        <f>SQRT(E40*E40+G40*G40)</f>
        <v>1809.5273212697116</v>
      </c>
      <c r="F41" s="265"/>
      <c r="G41" s="265"/>
      <c r="H41" s="266" t="s">
        <v>6</v>
      </c>
      <c r="I41" s="266"/>
      <c r="J41" s="33" t="s">
        <v>70</v>
      </c>
      <c r="K41" s="7"/>
      <c r="L41" s="7"/>
      <c r="M41" s="7"/>
      <c r="N41" s="7"/>
      <c r="O41" s="7"/>
      <c r="P41" s="7"/>
      <c r="Q41" s="7"/>
      <c r="R41" s="7"/>
      <c r="S41" s="7"/>
      <c r="T41" s="8"/>
    </row>
    <row r="42" spans="1:22" ht="10.5">
      <c r="A42" s="35"/>
      <c r="B42" s="35"/>
      <c r="C42" s="35"/>
      <c r="D42" s="35"/>
      <c r="E42" s="35"/>
      <c r="F42" s="42"/>
      <c r="G42" s="45"/>
      <c r="H42" s="44"/>
      <c r="I42" s="35"/>
      <c r="J42" s="35"/>
      <c r="K42" s="7"/>
      <c r="L42" s="7"/>
      <c r="M42" s="7"/>
      <c r="N42" s="7"/>
      <c r="O42" s="7"/>
      <c r="P42" s="7"/>
      <c r="Q42" s="7"/>
      <c r="R42" s="7"/>
      <c r="S42" s="7"/>
      <c r="T42" s="8"/>
    </row>
    <row r="43" spans="1:22" ht="10.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7"/>
      <c r="L43" s="7"/>
      <c r="M43" s="7"/>
      <c r="N43" s="7"/>
      <c r="O43" s="7"/>
      <c r="P43" s="7"/>
      <c r="Q43" s="7"/>
      <c r="R43" s="7"/>
      <c r="S43" s="7"/>
      <c r="T43" s="8"/>
    </row>
    <row r="44" spans="1:22" ht="10.5">
      <c r="A44" s="263"/>
      <c r="B44" s="263"/>
      <c r="C44" s="263"/>
      <c r="D44" s="263"/>
      <c r="E44" s="263"/>
      <c r="F44" s="263"/>
      <c r="G44" s="263"/>
      <c r="H44" s="263"/>
      <c r="I44" s="263"/>
      <c r="J44" s="263"/>
      <c r="K44" s="7"/>
      <c r="L44" s="7"/>
      <c r="M44" s="7"/>
      <c r="N44" s="7"/>
      <c r="O44" s="7"/>
      <c r="P44" s="7"/>
      <c r="Q44" s="7"/>
      <c r="R44" s="7"/>
      <c r="S44" s="7"/>
      <c r="T44" s="8"/>
    </row>
    <row r="45" spans="1:22" ht="10.5">
      <c r="A45" s="263"/>
      <c r="B45" s="263"/>
      <c r="C45" s="263"/>
      <c r="D45" s="263"/>
      <c r="E45" s="263"/>
      <c r="F45" s="263"/>
      <c r="G45" s="263"/>
      <c r="H45" s="263"/>
      <c r="I45" s="263"/>
      <c r="J45" s="263"/>
      <c r="K45" s="7"/>
      <c r="L45" s="7"/>
      <c r="M45" s="7"/>
      <c r="N45" s="7"/>
      <c r="O45" s="7"/>
      <c r="P45" s="7"/>
      <c r="Q45" s="7"/>
      <c r="R45" s="7"/>
      <c r="S45" s="7"/>
      <c r="T45" s="8"/>
    </row>
    <row r="46" spans="1:22" ht="10.5">
      <c r="A46" s="9" t="s">
        <v>71</v>
      </c>
      <c r="B46" s="4"/>
      <c r="C46" s="5"/>
      <c r="D46" s="5"/>
      <c r="E46" s="5"/>
      <c r="F46" s="5"/>
      <c r="G46" s="5"/>
      <c r="H46" s="5"/>
      <c r="I46" s="5"/>
      <c r="J46" s="5"/>
      <c r="K46" s="10"/>
      <c r="L46" s="7"/>
      <c r="M46" s="7"/>
      <c r="N46" s="7"/>
      <c r="O46" s="7"/>
      <c r="P46" s="7"/>
      <c r="Q46" s="7"/>
      <c r="R46" s="7"/>
      <c r="S46" s="7"/>
      <c r="T46" s="8"/>
    </row>
    <row r="47" spans="1:22" ht="10.5">
      <c r="A47" s="20" t="s">
        <v>83</v>
      </c>
      <c r="B47" s="4"/>
      <c r="C47" s="5"/>
      <c r="D47" s="5"/>
      <c r="E47" s="5"/>
      <c r="F47" s="5"/>
      <c r="G47" s="5"/>
      <c r="H47" s="5"/>
      <c r="I47" s="5"/>
      <c r="J47" s="5"/>
      <c r="K47" s="10"/>
      <c r="L47" s="7"/>
      <c r="M47" s="7"/>
      <c r="N47" s="7"/>
      <c r="O47" s="7"/>
      <c r="P47" s="7"/>
      <c r="Q47" s="7"/>
      <c r="R47" s="7"/>
      <c r="S47" s="7"/>
      <c r="T47" s="8"/>
    </row>
    <row r="48" spans="1:22" ht="10.5">
      <c r="A48" s="32" t="s">
        <v>81</v>
      </c>
      <c r="B48" s="4"/>
      <c r="C48" s="5"/>
      <c r="D48" s="5"/>
      <c r="E48" s="5"/>
      <c r="F48" s="5"/>
      <c r="G48" s="5"/>
      <c r="H48" s="5"/>
      <c r="I48" s="5"/>
      <c r="J48" s="5"/>
      <c r="K48" s="10"/>
      <c r="L48" s="7"/>
      <c r="M48" s="7"/>
      <c r="N48" s="7"/>
      <c r="O48" s="7"/>
      <c r="P48" s="7"/>
      <c r="Q48" s="7"/>
      <c r="R48" s="7"/>
      <c r="S48" s="7"/>
      <c r="T48" s="8"/>
    </row>
    <row r="49" spans="1:20" ht="10.5">
      <c r="A49" s="21" t="s">
        <v>86</v>
      </c>
      <c r="B49" s="5"/>
      <c r="C49" s="5"/>
      <c r="D49" s="5"/>
      <c r="E49" s="5"/>
      <c r="F49" s="5"/>
      <c r="G49" s="5"/>
      <c r="H49" s="5"/>
      <c r="I49" s="5"/>
      <c r="J49" s="5"/>
      <c r="K49" s="10"/>
      <c r="L49" s="7"/>
      <c r="M49" s="7"/>
      <c r="N49" s="7"/>
      <c r="O49" s="7"/>
      <c r="P49" s="7"/>
      <c r="Q49" s="7"/>
      <c r="R49" s="7"/>
      <c r="S49" s="7"/>
      <c r="T49" s="8"/>
    </row>
    <row r="50" spans="1:20" ht="10.5">
      <c r="A50" s="20"/>
      <c r="B50" s="5"/>
      <c r="C50" s="5"/>
      <c r="D50" s="5"/>
      <c r="E50" s="5"/>
      <c r="F50" s="5"/>
      <c r="G50" s="5"/>
      <c r="H50" s="5"/>
      <c r="I50" s="5"/>
      <c r="J50" s="5"/>
      <c r="K50" s="10"/>
      <c r="L50" s="7"/>
      <c r="M50" s="7"/>
      <c r="N50" s="7"/>
      <c r="O50" s="7"/>
      <c r="P50" s="7"/>
      <c r="Q50" s="7"/>
      <c r="R50" s="7"/>
      <c r="S50" s="7"/>
      <c r="T50" s="8"/>
    </row>
    <row r="51" spans="1:20" ht="11" thickBo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4"/>
      <c r="L51" s="25"/>
      <c r="M51" s="25"/>
      <c r="N51" s="25"/>
      <c r="O51" s="25"/>
      <c r="P51" s="25"/>
      <c r="Q51" s="25"/>
      <c r="R51" s="25"/>
      <c r="S51" s="25"/>
      <c r="T51" s="15"/>
    </row>
    <row r="52" spans="1:20" ht="10.5">
      <c r="A52" s="19" t="s">
        <v>72</v>
      </c>
      <c r="B52" s="4"/>
      <c r="C52" s="7"/>
      <c r="E52" s="16" t="s">
        <v>0</v>
      </c>
      <c r="F52" s="5">
        <v>2000</v>
      </c>
      <c r="G52" s="5" t="s">
        <v>6</v>
      </c>
      <c r="H52" s="4"/>
      <c r="I52" s="4"/>
      <c r="J52" s="26"/>
    </row>
    <row r="53" spans="1:20" ht="10.5">
      <c r="A53" s="19"/>
      <c r="B53" s="4"/>
      <c r="C53" s="7"/>
      <c r="D53" s="27"/>
      <c r="E53" s="5"/>
      <c r="F53" s="4"/>
      <c r="G53" s="4"/>
      <c r="H53" s="4"/>
      <c r="I53" s="4"/>
      <c r="J53" s="26"/>
    </row>
    <row r="54" spans="1:20" ht="10.5">
      <c r="A54" s="19" t="s">
        <v>73</v>
      </c>
      <c r="B54" s="4"/>
      <c r="C54" s="7"/>
      <c r="D54" s="5"/>
      <c r="E54" s="5"/>
      <c r="F54" s="4"/>
      <c r="G54" s="4"/>
      <c r="H54" s="4"/>
      <c r="I54" s="4"/>
      <c r="J54" s="26"/>
    </row>
    <row r="55" spans="1:20" ht="10.5">
      <c r="A55" s="19"/>
      <c r="B55" s="4"/>
      <c r="C55" s="7"/>
      <c r="D55" s="16"/>
      <c r="E55" s="5"/>
      <c r="F55" s="4"/>
      <c r="G55" s="4"/>
      <c r="H55" s="4"/>
      <c r="I55" s="4"/>
      <c r="J55" s="26"/>
    </row>
    <row r="56" spans="1:20" ht="10.5">
      <c r="A56" s="10"/>
      <c r="B56" s="5"/>
      <c r="C56" s="28" t="s">
        <v>74</v>
      </c>
      <c r="D56" s="5" t="s">
        <v>0</v>
      </c>
      <c r="E56" s="4" t="s">
        <v>75</v>
      </c>
      <c r="F56" s="5"/>
      <c r="G56" s="5"/>
      <c r="H56" s="5"/>
      <c r="I56" s="5"/>
      <c r="J56" s="11"/>
    </row>
    <row r="57" spans="1:20">
      <c r="A57" s="19"/>
      <c r="B57" s="4"/>
      <c r="C57" s="5"/>
      <c r="D57" s="5"/>
      <c r="E57" s="5"/>
      <c r="F57" s="4"/>
      <c r="G57" s="4"/>
      <c r="H57" s="4"/>
      <c r="I57" s="4"/>
      <c r="J57" s="26"/>
    </row>
    <row r="58" spans="1:20" ht="10.5">
      <c r="A58" s="19"/>
      <c r="B58" s="5">
        <f>F52</f>
        <v>2000</v>
      </c>
      <c r="C58" s="7" t="s">
        <v>0</v>
      </c>
      <c r="D58" s="16">
        <v>1.732</v>
      </c>
      <c r="E58" s="31" t="s">
        <v>76</v>
      </c>
      <c r="F58" s="5">
        <v>400</v>
      </c>
      <c r="G58" s="5" t="s">
        <v>76</v>
      </c>
      <c r="H58" s="4" t="s">
        <v>77</v>
      </c>
      <c r="I58" s="267" t="s">
        <v>78</v>
      </c>
      <c r="J58" s="268"/>
    </row>
    <row r="59" spans="1:20">
      <c r="A59" s="17"/>
      <c r="B59" s="5"/>
      <c r="C59" s="5"/>
      <c r="D59" s="5"/>
      <c r="E59" s="5"/>
      <c r="F59" s="5"/>
      <c r="G59" s="5"/>
      <c r="H59" s="5"/>
      <c r="I59" s="5"/>
      <c r="J59" s="11"/>
    </row>
    <row r="60" spans="1:20" ht="10.5">
      <c r="A60" s="17"/>
      <c r="B60" s="5" t="s">
        <v>17</v>
      </c>
      <c r="C60" s="7" t="s">
        <v>77</v>
      </c>
      <c r="D60" s="7" t="s">
        <v>0</v>
      </c>
      <c r="E60" s="29">
        <f>B58/(F58*D58/1000)</f>
        <v>2886.8360277136262</v>
      </c>
      <c r="F60" s="7" t="s">
        <v>38</v>
      </c>
      <c r="G60" s="16"/>
      <c r="H60" s="5"/>
      <c r="I60" s="5"/>
      <c r="J60" s="11"/>
    </row>
    <row r="61" spans="1:20">
      <c r="A61" s="17"/>
      <c r="B61" s="5"/>
      <c r="C61" s="5"/>
      <c r="D61" s="5"/>
      <c r="E61" s="5"/>
      <c r="F61" s="5"/>
      <c r="G61" s="16"/>
      <c r="H61" s="5"/>
      <c r="I61" s="5"/>
      <c r="J61" s="11"/>
    </row>
    <row r="62" spans="1:20" ht="10.5">
      <c r="A62" s="17"/>
      <c r="B62" s="5" t="s">
        <v>85</v>
      </c>
      <c r="C62" s="5"/>
      <c r="D62" s="7" t="s">
        <v>0</v>
      </c>
      <c r="E62" s="46">
        <v>3200</v>
      </c>
      <c r="F62" s="7" t="s">
        <v>38</v>
      </c>
      <c r="G62" s="5"/>
      <c r="H62" s="5"/>
      <c r="I62" s="5"/>
      <c r="J62" s="11"/>
    </row>
    <row r="63" spans="1:20" ht="11" thickBot="1">
      <c r="A63" s="17"/>
      <c r="B63" s="5"/>
      <c r="C63" s="5"/>
      <c r="D63" s="5"/>
      <c r="E63" s="29"/>
      <c r="F63" s="5"/>
      <c r="G63" s="5"/>
      <c r="H63" s="5"/>
      <c r="I63" s="5"/>
      <c r="J63" s="11"/>
    </row>
    <row r="64" spans="1:20">
      <c r="A64" s="256" t="s">
        <v>87</v>
      </c>
      <c r="B64" s="257"/>
      <c r="C64" s="257"/>
      <c r="D64" s="257"/>
      <c r="E64" s="257"/>
      <c r="F64" s="257"/>
      <c r="G64" s="257"/>
      <c r="H64" s="257"/>
      <c r="I64" s="257"/>
      <c r="J64" s="258"/>
    </row>
    <row r="65" spans="1:10" ht="10.5" thickBot="1">
      <c r="A65" s="259"/>
      <c r="B65" s="260"/>
      <c r="C65" s="260"/>
      <c r="D65" s="260"/>
      <c r="E65" s="260"/>
      <c r="F65" s="260"/>
      <c r="G65" s="260"/>
      <c r="H65" s="260"/>
      <c r="I65" s="260"/>
      <c r="J65" s="261"/>
    </row>
    <row r="66" spans="1:10">
      <c r="A66" s="262"/>
      <c r="B66" s="262"/>
      <c r="C66" s="262"/>
      <c r="D66" s="262"/>
      <c r="E66" s="262"/>
      <c r="F66" s="262"/>
      <c r="G66" s="262"/>
      <c r="H66" s="262"/>
      <c r="I66" s="262"/>
      <c r="J66" s="262"/>
    </row>
    <row r="67" spans="1:10" ht="10.5">
      <c r="B67" s="4"/>
      <c r="C67" s="4"/>
      <c r="D67" s="4"/>
      <c r="E67" s="7"/>
      <c r="F67" s="7"/>
      <c r="G67" s="7"/>
      <c r="H67" s="3"/>
      <c r="I67" s="3"/>
      <c r="J67" s="3"/>
    </row>
    <row r="68" spans="1:10" ht="10.5">
      <c r="A68" s="3"/>
      <c r="B68" s="3"/>
      <c r="C68" s="3"/>
      <c r="D68" s="3"/>
      <c r="E68" s="3"/>
      <c r="F68" s="3"/>
      <c r="G68" s="3"/>
      <c r="H68" s="30"/>
      <c r="I68" s="3"/>
      <c r="J68" s="4"/>
    </row>
    <row r="69" spans="1:10" ht="10.5">
      <c r="A69" s="3"/>
      <c r="B69" s="3"/>
      <c r="C69" s="3"/>
      <c r="D69" s="3"/>
      <c r="E69" s="3"/>
      <c r="F69" s="3"/>
      <c r="G69" s="3"/>
      <c r="H69" s="30"/>
      <c r="I69" s="3"/>
      <c r="J69" s="4"/>
    </row>
    <row r="70" spans="1:10" ht="10.5">
      <c r="A70" s="3"/>
      <c r="B70" s="3"/>
      <c r="C70" s="3"/>
      <c r="D70" s="3"/>
      <c r="E70" s="3"/>
      <c r="F70" s="3"/>
      <c r="G70" s="3"/>
      <c r="H70" s="30"/>
      <c r="I70" s="3"/>
      <c r="J70" s="4"/>
    </row>
    <row r="71" spans="1:10" ht="10.5">
      <c r="A71" s="3"/>
      <c r="B71" s="3"/>
      <c r="C71" s="3"/>
      <c r="D71" s="3"/>
      <c r="E71" s="3"/>
      <c r="F71" s="3"/>
      <c r="G71" s="3"/>
      <c r="H71" s="30"/>
      <c r="I71" s="3"/>
      <c r="J71" s="4"/>
    </row>
    <row r="72" spans="1:10" ht="10.5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spans="1:10" ht="10.5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0" ht="10.5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 ht="10.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0" ht="10.5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0" ht="10.5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0" ht="10.5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0" ht="10.5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spans="1:10" ht="10.5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ht="10.5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spans="1:10" ht="10.5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spans="1:10" ht="10.5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10" ht="10.5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 ht="10.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 ht="10.5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 ht="10.5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ht="10.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ht="10.5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 ht="10.5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 ht="10.5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0" ht="10.5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0" ht="10.5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0" ht="10.5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0" ht="10.5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0" ht="10.5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0" ht="10.5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0" ht="10.5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0" ht="10.5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0" ht="10.5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0" ht="10.5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spans="1:10" ht="10.5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0" ht="10.5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spans="1:10" ht="10.5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 spans="1:10" ht="10.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spans="1:10" ht="10.5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 spans="1:10" ht="10.5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 spans="1:10" ht="10.5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 spans="1:10" ht="10.5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 spans="1:10" ht="10.5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 spans="1:10" ht="10.5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 spans="1:10" ht="10.5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 spans="1:10" ht="10.5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 spans="1:10" ht="10.5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 spans="1:10" ht="10.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 ht="10.5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 ht="10.5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 ht="10.5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 ht="10.5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 ht="10.5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 ht="10.5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 ht="10.5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 ht="10.5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 ht="10.5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 ht="10.5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 ht="10.5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0.5">
      <c r="B128" s="7"/>
      <c r="C128" s="7"/>
      <c r="D128" s="5"/>
      <c r="E128" s="7"/>
      <c r="F128" s="7"/>
      <c r="G128" s="5"/>
      <c r="H128" s="7"/>
      <c r="I128" s="7"/>
      <c r="J128" s="5"/>
    </row>
    <row r="129" spans="1:10">
      <c r="B129" s="4"/>
      <c r="C129" s="4"/>
      <c r="D129" s="4"/>
      <c r="E129" s="31"/>
      <c r="F129" s="31"/>
      <c r="G129" s="31"/>
      <c r="H129" s="31"/>
      <c r="I129" s="31"/>
      <c r="J129" s="31"/>
    </row>
    <row r="130" spans="1:10" ht="10.5">
      <c r="B130" s="4"/>
      <c r="C130" s="4"/>
      <c r="D130" s="4"/>
      <c r="E130" s="7"/>
      <c r="F130" s="7"/>
      <c r="G130" s="7"/>
      <c r="H130" s="3"/>
      <c r="I130" s="3"/>
      <c r="J130" s="3"/>
    </row>
    <row r="131" spans="1:10" ht="10.5">
      <c r="A131" s="3"/>
      <c r="B131" s="3"/>
      <c r="C131" s="3"/>
      <c r="D131" s="3"/>
      <c r="E131" s="3"/>
      <c r="F131" s="3"/>
      <c r="G131" s="3"/>
      <c r="H131" s="30"/>
      <c r="I131" s="3"/>
      <c r="J131" s="4"/>
    </row>
    <row r="132" spans="1:10" ht="10.5">
      <c r="A132" s="3"/>
      <c r="B132" s="3"/>
      <c r="C132" s="3"/>
      <c r="D132" s="3"/>
      <c r="E132" s="3"/>
      <c r="F132" s="3"/>
      <c r="G132" s="3"/>
      <c r="H132" s="30"/>
      <c r="I132" s="3"/>
      <c r="J132" s="4"/>
    </row>
    <row r="133" spans="1:10" ht="10.5">
      <c r="A133" s="3"/>
      <c r="B133" s="3"/>
      <c r="C133" s="3"/>
      <c r="D133" s="3"/>
      <c r="E133" s="3"/>
      <c r="F133" s="3"/>
      <c r="G133" s="3"/>
      <c r="H133" s="30"/>
      <c r="I133" s="3"/>
      <c r="J133" s="4"/>
    </row>
    <row r="134" spans="1:10" ht="10.5">
      <c r="A134" s="3"/>
      <c r="B134" s="3"/>
      <c r="C134" s="3"/>
      <c r="D134" s="3"/>
      <c r="E134" s="3"/>
      <c r="F134" s="3"/>
      <c r="G134" s="3"/>
      <c r="H134" s="30"/>
      <c r="I134" s="3"/>
      <c r="J134" s="4"/>
    </row>
    <row r="135" spans="1:10" ht="10.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spans="1:10" ht="10.5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 spans="1:10" ht="10.5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 spans="1:10" ht="10.5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 spans="1:10" ht="10.5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 spans="1:10" ht="10.5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 spans="1:10" ht="10.5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 spans="1:10" ht="10.5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 spans="1:10" ht="10.5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 spans="1:10" ht="10.5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 spans="1:10" ht="10.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spans="1:10" ht="10.5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 spans="1:10" ht="10.5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 spans="1:10" ht="10.5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 spans="1:10" ht="10.5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 spans="1:10" ht="10.5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spans="1:10" ht="10.5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 spans="1:10" ht="10.5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 spans="1:10" ht="10.5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 spans="1:10" ht="10.5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 spans="1:10" ht="10.5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 spans="1:10" ht="10.5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 spans="1:10" ht="10.5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 spans="1:10" ht="10.5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 spans="1:10" ht="10.5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 spans="1:10" ht="10.5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 spans="1:10" ht="10.5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 spans="1:10" ht="10.5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 spans="1:10" ht="10.5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 spans="1:10" ht="10.5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 spans="1:10" ht="10.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spans="1:10" ht="10.5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 spans="1:10" ht="10.5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 spans="1:10" ht="10.5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 spans="1:10" ht="10.5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 spans="1:10" ht="10.5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 spans="1:10" ht="10.5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 spans="1:10" ht="10.5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 spans="1:10" ht="10.5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 spans="1:10" ht="10.5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 spans="1:10" ht="10.5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 spans="1:10" ht="10.5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 spans="1:10" ht="10.5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 spans="1:10" ht="10.5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 spans="1:10" ht="10.5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 spans="1:10" ht="10.5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spans="1:10" ht="10.5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 spans="1:10" ht="10.5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 spans="1:10" ht="10.5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 spans="1:10" ht="10.5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spans="1:10" ht="10.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spans="1:10" ht="10.5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spans="1:10" ht="10.5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spans="1:10" ht="10.5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spans="1:10" ht="10.5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spans="1:10"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0.5">
      <c r="B191" s="7"/>
      <c r="C191" s="7"/>
      <c r="D191" s="5"/>
      <c r="E191" s="7"/>
      <c r="F191" s="7"/>
      <c r="G191" s="5"/>
      <c r="H191" s="7"/>
      <c r="I191" s="7"/>
      <c r="J191" s="5"/>
    </row>
    <row r="195" spans="1:10" ht="10.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spans="1:10" ht="10.5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spans="1:10" ht="10.5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spans="1:10" ht="10.5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spans="1:10" ht="10.5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spans="1:10" ht="10.5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spans="1:10" ht="10.5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spans="1:10" ht="10.5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 spans="1:10" ht="10.5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 spans="1:10" ht="10.5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 spans="1:10" ht="10.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 spans="1:10" ht="10.5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 spans="1:10" ht="10.5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 spans="1:10" ht="10.5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 spans="1:10" ht="10.5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 spans="1:10" ht="10.5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 spans="1:10"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0.5">
      <c r="B212" s="7"/>
      <c r="C212" s="7"/>
      <c r="D212" s="5"/>
      <c r="E212" s="7"/>
      <c r="F212" s="7"/>
      <c r="G212" s="5"/>
      <c r="H212" s="7"/>
      <c r="I212" s="7"/>
      <c r="J212" s="5"/>
    </row>
  </sheetData>
  <mergeCells count="86">
    <mergeCell ref="A1:J2"/>
    <mergeCell ref="K1:T2"/>
    <mergeCell ref="A3:J3"/>
    <mergeCell ref="K3:T3"/>
    <mergeCell ref="A4:B4"/>
    <mergeCell ref="F4:J4"/>
    <mergeCell ref="A5:B5"/>
    <mergeCell ref="F5:J5"/>
    <mergeCell ref="A6:B6"/>
    <mergeCell ref="F6:J6"/>
    <mergeCell ref="A7:B7"/>
    <mergeCell ref="F7:J7"/>
    <mergeCell ref="A8:B8"/>
    <mergeCell ref="F8:J8"/>
    <mergeCell ref="F9:J9"/>
    <mergeCell ref="A10:B10"/>
    <mergeCell ref="F10:J10"/>
    <mergeCell ref="A11:B11"/>
    <mergeCell ref="F11:J11"/>
    <mergeCell ref="A12:J12"/>
    <mergeCell ref="A13:B14"/>
    <mergeCell ref="C13:C14"/>
    <mergeCell ref="D13:D14"/>
    <mergeCell ref="E13:E14"/>
    <mergeCell ref="F13:F14"/>
    <mergeCell ref="G13:G14"/>
    <mergeCell ref="H13:H14"/>
    <mergeCell ref="I13:J14"/>
    <mergeCell ref="R15:R16"/>
    <mergeCell ref="A16:C16"/>
    <mergeCell ref="E16:G16"/>
    <mergeCell ref="H16:I16"/>
    <mergeCell ref="A17:C17"/>
    <mergeCell ref="H17:I17"/>
    <mergeCell ref="A15:J15"/>
    <mergeCell ref="L15:L16"/>
    <mergeCell ref="M15:M16"/>
    <mergeCell ref="N15:N16"/>
    <mergeCell ref="Q15:Q16"/>
    <mergeCell ref="A18:J18"/>
    <mergeCell ref="A19:C19"/>
    <mergeCell ref="G19:J19"/>
    <mergeCell ref="A20:C20"/>
    <mergeCell ref="G20:J20"/>
    <mergeCell ref="G21:J21"/>
    <mergeCell ref="A22:C22"/>
    <mergeCell ref="G22:J22"/>
    <mergeCell ref="A23:C23"/>
    <mergeCell ref="G23:J23"/>
    <mergeCell ref="A24:J24"/>
    <mergeCell ref="A25:C25"/>
    <mergeCell ref="E25:G25"/>
    <mergeCell ref="H25:I25"/>
    <mergeCell ref="A26:C26"/>
    <mergeCell ref="H26:I26"/>
    <mergeCell ref="A27:J27"/>
    <mergeCell ref="A28:C28"/>
    <mergeCell ref="H28:I28"/>
    <mergeCell ref="H29:I29"/>
    <mergeCell ref="A30:C30"/>
    <mergeCell ref="E30:F30"/>
    <mergeCell ref="G30:J30"/>
    <mergeCell ref="A31:C31"/>
    <mergeCell ref="G31:J31"/>
    <mergeCell ref="A32:C32"/>
    <mergeCell ref="G32:J32"/>
    <mergeCell ref="A33:C33"/>
    <mergeCell ref="G33:J33"/>
    <mergeCell ref="A35:C35"/>
    <mergeCell ref="E35:H35"/>
    <mergeCell ref="I35:J35"/>
    <mergeCell ref="A36:C36"/>
    <mergeCell ref="I36:J36"/>
    <mergeCell ref="A37:C37"/>
    <mergeCell ref="E37:H37"/>
    <mergeCell ref="I37:J37"/>
    <mergeCell ref="A44:J45"/>
    <mergeCell ref="I58:J58"/>
    <mergeCell ref="A64:J65"/>
    <mergeCell ref="A66:J66"/>
    <mergeCell ref="A38:C38"/>
    <mergeCell ref="A40:C40"/>
    <mergeCell ref="H40:I40"/>
    <mergeCell ref="A41:C41"/>
    <mergeCell ref="E41:G41"/>
    <mergeCell ref="H41:I41"/>
  </mergeCells>
  <pageMargins left="0.7" right="0.7" top="0.75" bottom="0.75" header="0.3" footer="0.3"/>
  <pageSetup scale="8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7C08-AF54-4BDB-A0D2-CA142DCD1D0C}">
  <dimension ref="A1:I72"/>
  <sheetViews>
    <sheetView tabSelected="1" view="pageBreakPreview" zoomScaleNormal="100" zoomScaleSheetLayoutView="100" workbookViewId="0">
      <selection sqref="A1:I1"/>
    </sheetView>
  </sheetViews>
  <sheetFormatPr defaultColWidth="12.90625" defaultRowHeight="15.5"/>
  <cols>
    <col min="1" max="1" width="21.36328125" style="133" customWidth="1"/>
    <col min="2" max="2" width="31.1796875" style="133" customWidth="1"/>
    <col min="3" max="3" width="19.54296875" style="133" customWidth="1"/>
    <col min="4" max="4" width="30.81640625" style="133" customWidth="1"/>
    <col min="5" max="5" width="14.6328125" style="133" customWidth="1"/>
    <col min="6" max="6" width="14.54296875" style="133" customWidth="1"/>
    <col min="7" max="7" width="20" style="133" customWidth="1"/>
    <col min="8" max="8" width="0" style="133" hidden="1" customWidth="1"/>
    <col min="9" max="9" width="19.54296875" style="133" customWidth="1"/>
    <col min="10" max="255" width="11.1796875" style="133" customWidth="1"/>
    <col min="256" max="256" width="12.90625" style="133"/>
    <col min="257" max="257" width="21.36328125" style="133" customWidth="1"/>
    <col min="258" max="258" width="31.1796875" style="133" customWidth="1"/>
    <col min="259" max="259" width="19.54296875" style="133" customWidth="1"/>
    <col min="260" max="260" width="30.81640625" style="133" customWidth="1"/>
    <col min="261" max="261" width="14.6328125" style="133" customWidth="1"/>
    <col min="262" max="263" width="20" style="133" customWidth="1"/>
    <col min="264" max="264" width="0" style="133" hidden="1" customWidth="1"/>
    <col min="265" max="265" width="19.54296875" style="133" customWidth="1"/>
    <col min="266" max="511" width="11.1796875" style="133" customWidth="1"/>
    <col min="512" max="512" width="12.90625" style="133"/>
    <col min="513" max="513" width="21.36328125" style="133" customWidth="1"/>
    <col min="514" max="514" width="31.1796875" style="133" customWidth="1"/>
    <col min="515" max="515" width="19.54296875" style="133" customWidth="1"/>
    <col min="516" max="516" width="30.81640625" style="133" customWidth="1"/>
    <col min="517" max="517" width="14.6328125" style="133" customWidth="1"/>
    <col min="518" max="519" width="20" style="133" customWidth="1"/>
    <col min="520" max="520" width="0" style="133" hidden="1" customWidth="1"/>
    <col min="521" max="521" width="19.54296875" style="133" customWidth="1"/>
    <col min="522" max="767" width="11.1796875" style="133" customWidth="1"/>
    <col min="768" max="768" width="12.90625" style="133"/>
    <col min="769" max="769" width="21.36328125" style="133" customWidth="1"/>
    <col min="770" max="770" width="31.1796875" style="133" customWidth="1"/>
    <col min="771" max="771" width="19.54296875" style="133" customWidth="1"/>
    <col min="772" max="772" width="30.81640625" style="133" customWidth="1"/>
    <col min="773" max="773" width="14.6328125" style="133" customWidth="1"/>
    <col min="774" max="775" width="20" style="133" customWidth="1"/>
    <col min="776" max="776" width="0" style="133" hidden="1" customWidth="1"/>
    <col min="777" max="777" width="19.54296875" style="133" customWidth="1"/>
    <col min="778" max="1023" width="11.1796875" style="133" customWidth="1"/>
    <col min="1024" max="1024" width="12.90625" style="133"/>
    <col min="1025" max="1025" width="21.36328125" style="133" customWidth="1"/>
    <col min="1026" max="1026" width="31.1796875" style="133" customWidth="1"/>
    <col min="1027" max="1027" width="19.54296875" style="133" customWidth="1"/>
    <col min="1028" max="1028" width="30.81640625" style="133" customWidth="1"/>
    <col min="1029" max="1029" width="14.6328125" style="133" customWidth="1"/>
    <col min="1030" max="1031" width="20" style="133" customWidth="1"/>
    <col min="1032" max="1032" width="0" style="133" hidden="1" customWidth="1"/>
    <col min="1033" max="1033" width="19.54296875" style="133" customWidth="1"/>
    <col min="1034" max="1279" width="11.1796875" style="133" customWidth="1"/>
    <col min="1280" max="1280" width="12.90625" style="133"/>
    <col min="1281" max="1281" width="21.36328125" style="133" customWidth="1"/>
    <col min="1282" max="1282" width="31.1796875" style="133" customWidth="1"/>
    <col min="1283" max="1283" width="19.54296875" style="133" customWidth="1"/>
    <col min="1284" max="1284" width="30.81640625" style="133" customWidth="1"/>
    <col min="1285" max="1285" width="14.6328125" style="133" customWidth="1"/>
    <col min="1286" max="1287" width="20" style="133" customWidth="1"/>
    <col min="1288" max="1288" width="0" style="133" hidden="1" customWidth="1"/>
    <col min="1289" max="1289" width="19.54296875" style="133" customWidth="1"/>
    <col min="1290" max="1535" width="11.1796875" style="133" customWidth="1"/>
    <col min="1536" max="1536" width="12.90625" style="133"/>
    <col min="1537" max="1537" width="21.36328125" style="133" customWidth="1"/>
    <col min="1538" max="1538" width="31.1796875" style="133" customWidth="1"/>
    <col min="1539" max="1539" width="19.54296875" style="133" customWidth="1"/>
    <col min="1540" max="1540" width="30.81640625" style="133" customWidth="1"/>
    <col min="1541" max="1541" width="14.6328125" style="133" customWidth="1"/>
    <col min="1542" max="1543" width="20" style="133" customWidth="1"/>
    <col min="1544" max="1544" width="0" style="133" hidden="1" customWidth="1"/>
    <col min="1545" max="1545" width="19.54296875" style="133" customWidth="1"/>
    <col min="1546" max="1791" width="11.1796875" style="133" customWidth="1"/>
    <col min="1792" max="1792" width="12.90625" style="133"/>
    <col min="1793" max="1793" width="21.36328125" style="133" customWidth="1"/>
    <col min="1794" max="1794" width="31.1796875" style="133" customWidth="1"/>
    <col min="1795" max="1795" width="19.54296875" style="133" customWidth="1"/>
    <col min="1796" max="1796" width="30.81640625" style="133" customWidth="1"/>
    <col min="1797" max="1797" width="14.6328125" style="133" customWidth="1"/>
    <col min="1798" max="1799" width="20" style="133" customWidth="1"/>
    <col min="1800" max="1800" width="0" style="133" hidden="1" customWidth="1"/>
    <col min="1801" max="1801" width="19.54296875" style="133" customWidth="1"/>
    <col min="1802" max="2047" width="11.1796875" style="133" customWidth="1"/>
    <col min="2048" max="2048" width="12.90625" style="133"/>
    <col min="2049" max="2049" width="21.36328125" style="133" customWidth="1"/>
    <col min="2050" max="2050" width="31.1796875" style="133" customWidth="1"/>
    <col min="2051" max="2051" width="19.54296875" style="133" customWidth="1"/>
    <col min="2052" max="2052" width="30.81640625" style="133" customWidth="1"/>
    <col min="2053" max="2053" width="14.6328125" style="133" customWidth="1"/>
    <col min="2054" max="2055" width="20" style="133" customWidth="1"/>
    <col min="2056" max="2056" width="0" style="133" hidden="1" customWidth="1"/>
    <col min="2057" max="2057" width="19.54296875" style="133" customWidth="1"/>
    <col min="2058" max="2303" width="11.1796875" style="133" customWidth="1"/>
    <col min="2304" max="2304" width="12.90625" style="133"/>
    <col min="2305" max="2305" width="21.36328125" style="133" customWidth="1"/>
    <col min="2306" max="2306" width="31.1796875" style="133" customWidth="1"/>
    <col min="2307" max="2307" width="19.54296875" style="133" customWidth="1"/>
    <col min="2308" max="2308" width="30.81640625" style="133" customWidth="1"/>
    <col min="2309" max="2309" width="14.6328125" style="133" customWidth="1"/>
    <col min="2310" max="2311" width="20" style="133" customWidth="1"/>
    <col min="2312" max="2312" width="0" style="133" hidden="1" customWidth="1"/>
    <col min="2313" max="2313" width="19.54296875" style="133" customWidth="1"/>
    <col min="2314" max="2559" width="11.1796875" style="133" customWidth="1"/>
    <col min="2560" max="2560" width="12.90625" style="133"/>
    <col min="2561" max="2561" width="21.36328125" style="133" customWidth="1"/>
    <col min="2562" max="2562" width="31.1796875" style="133" customWidth="1"/>
    <col min="2563" max="2563" width="19.54296875" style="133" customWidth="1"/>
    <col min="2564" max="2564" width="30.81640625" style="133" customWidth="1"/>
    <col min="2565" max="2565" width="14.6328125" style="133" customWidth="1"/>
    <col min="2566" max="2567" width="20" style="133" customWidth="1"/>
    <col min="2568" max="2568" width="0" style="133" hidden="1" customWidth="1"/>
    <col min="2569" max="2569" width="19.54296875" style="133" customWidth="1"/>
    <col min="2570" max="2815" width="11.1796875" style="133" customWidth="1"/>
    <col min="2816" max="2816" width="12.90625" style="133"/>
    <col min="2817" max="2817" width="21.36328125" style="133" customWidth="1"/>
    <col min="2818" max="2818" width="31.1796875" style="133" customWidth="1"/>
    <col min="2819" max="2819" width="19.54296875" style="133" customWidth="1"/>
    <col min="2820" max="2820" width="30.81640625" style="133" customWidth="1"/>
    <col min="2821" max="2821" width="14.6328125" style="133" customWidth="1"/>
    <col min="2822" max="2823" width="20" style="133" customWidth="1"/>
    <col min="2824" max="2824" width="0" style="133" hidden="1" customWidth="1"/>
    <col min="2825" max="2825" width="19.54296875" style="133" customWidth="1"/>
    <col min="2826" max="3071" width="11.1796875" style="133" customWidth="1"/>
    <col min="3072" max="3072" width="12.90625" style="133"/>
    <col min="3073" max="3073" width="21.36328125" style="133" customWidth="1"/>
    <col min="3074" max="3074" width="31.1796875" style="133" customWidth="1"/>
    <col min="3075" max="3075" width="19.54296875" style="133" customWidth="1"/>
    <col min="3076" max="3076" width="30.81640625" style="133" customWidth="1"/>
    <col min="3077" max="3077" width="14.6328125" style="133" customWidth="1"/>
    <col min="3078" max="3079" width="20" style="133" customWidth="1"/>
    <col min="3080" max="3080" width="0" style="133" hidden="1" customWidth="1"/>
    <col min="3081" max="3081" width="19.54296875" style="133" customWidth="1"/>
    <col min="3082" max="3327" width="11.1796875" style="133" customWidth="1"/>
    <col min="3328" max="3328" width="12.90625" style="133"/>
    <col min="3329" max="3329" width="21.36328125" style="133" customWidth="1"/>
    <col min="3330" max="3330" width="31.1796875" style="133" customWidth="1"/>
    <col min="3331" max="3331" width="19.54296875" style="133" customWidth="1"/>
    <col min="3332" max="3332" width="30.81640625" style="133" customWidth="1"/>
    <col min="3333" max="3333" width="14.6328125" style="133" customWidth="1"/>
    <col min="3334" max="3335" width="20" style="133" customWidth="1"/>
    <col min="3336" max="3336" width="0" style="133" hidden="1" customWidth="1"/>
    <col min="3337" max="3337" width="19.54296875" style="133" customWidth="1"/>
    <col min="3338" max="3583" width="11.1796875" style="133" customWidth="1"/>
    <col min="3584" max="3584" width="12.90625" style="133"/>
    <col min="3585" max="3585" width="21.36328125" style="133" customWidth="1"/>
    <col min="3586" max="3586" width="31.1796875" style="133" customWidth="1"/>
    <col min="3587" max="3587" width="19.54296875" style="133" customWidth="1"/>
    <col min="3588" max="3588" width="30.81640625" style="133" customWidth="1"/>
    <col min="3589" max="3589" width="14.6328125" style="133" customWidth="1"/>
    <col min="3590" max="3591" width="20" style="133" customWidth="1"/>
    <col min="3592" max="3592" width="0" style="133" hidden="1" customWidth="1"/>
    <col min="3593" max="3593" width="19.54296875" style="133" customWidth="1"/>
    <col min="3594" max="3839" width="11.1796875" style="133" customWidth="1"/>
    <col min="3840" max="3840" width="12.90625" style="133"/>
    <col min="3841" max="3841" width="21.36328125" style="133" customWidth="1"/>
    <col min="3842" max="3842" width="31.1796875" style="133" customWidth="1"/>
    <col min="3843" max="3843" width="19.54296875" style="133" customWidth="1"/>
    <col min="3844" max="3844" width="30.81640625" style="133" customWidth="1"/>
    <col min="3845" max="3845" width="14.6328125" style="133" customWidth="1"/>
    <col min="3846" max="3847" width="20" style="133" customWidth="1"/>
    <col min="3848" max="3848" width="0" style="133" hidden="1" customWidth="1"/>
    <col min="3849" max="3849" width="19.54296875" style="133" customWidth="1"/>
    <col min="3850" max="4095" width="11.1796875" style="133" customWidth="1"/>
    <col min="4096" max="4096" width="12.90625" style="133"/>
    <col min="4097" max="4097" width="21.36328125" style="133" customWidth="1"/>
    <col min="4098" max="4098" width="31.1796875" style="133" customWidth="1"/>
    <col min="4099" max="4099" width="19.54296875" style="133" customWidth="1"/>
    <col min="4100" max="4100" width="30.81640625" style="133" customWidth="1"/>
    <col min="4101" max="4101" width="14.6328125" style="133" customWidth="1"/>
    <col min="4102" max="4103" width="20" style="133" customWidth="1"/>
    <col min="4104" max="4104" width="0" style="133" hidden="1" customWidth="1"/>
    <col min="4105" max="4105" width="19.54296875" style="133" customWidth="1"/>
    <col min="4106" max="4351" width="11.1796875" style="133" customWidth="1"/>
    <col min="4352" max="4352" width="12.90625" style="133"/>
    <col min="4353" max="4353" width="21.36328125" style="133" customWidth="1"/>
    <col min="4354" max="4354" width="31.1796875" style="133" customWidth="1"/>
    <col min="4355" max="4355" width="19.54296875" style="133" customWidth="1"/>
    <col min="4356" max="4356" width="30.81640625" style="133" customWidth="1"/>
    <col min="4357" max="4357" width="14.6328125" style="133" customWidth="1"/>
    <col min="4358" max="4359" width="20" style="133" customWidth="1"/>
    <col min="4360" max="4360" width="0" style="133" hidden="1" customWidth="1"/>
    <col min="4361" max="4361" width="19.54296875" style="133" customWidth="1"/>
    <col min="4362" max="4607" width="11.1796875" style="133" customWidth="1"/>
    <col min="4608" max="4608" width="12.90625" style="133"/>
    <col min="4609" max="4609" width="21.36328125" style="133" customWidth="1"/>
    <col min="4610" max="4610" width="31.1796875" style="133" customWidth="1"/>
    <col min="4611" max="4611" width="19.54296875" style="133" customWidth="1"/>
    <col min="4612" max="4612" width="30.81640625" style="133" customWidth="1"/>
    <col min="4613" max="4613" width="14.6328125" style="133" customWidth="1"/>
    <col min="4614" max="4615" width="20" style="133" customWidth="1"/>
    <col min="4616" max="4616" width="0" style="133" hidden="1" customWidth="1"/>
    <col min="4617" max="4617" width="19.54296875" style="133" customWidth="1"/>
    <col min="4618" max="4863" width="11.1796875" style="133" customWidth="1"/>
    <col min="4864" max="4864" width="12.90625" style="133"/>
    <col min="4865" max="4865" width="21.36328125" style="133" customWidth="1"/>
    <col min="4866" max="4866" width="31.1796875" style="133" customWidth="1"/>
    <col min="4867" max="4867" width="19.54296875" style="133" customWidth="1"/>
    <col min="4868" max="4868" width="30.81640625" style="133" customWidth="1"/>
    <col min="4869" max="4869" width="14.6328125" style="133" customWidth="1"/>
    <col min="4870" max="4871" width="20" style="133" customWidth="1"/>
    <col min="4872" max="4872" width="0" style="133" hidden="1" customWidth="1"/>
    <col min="4873" max="4873" width="19.54296875" style="133" customWidth="1"/>
    <col min="4874" max="5119" width="11.1796875" style="133" customWidth="1"/>
    <col min="5120" max="5120" width="12.90625" style="133"/>
    <col min="5121" max="5121" width="21.36328125" style="133" customWidth="1"/>
    <col min="5122" max="5122" width="31.1796875" style="133" customWidth="1"/>
    <col min="5123" max="5123" width="19.54296875" style="133" customWidth="1"/>
    <col min="5124" max="5124" width="30.81640625" style="133" customWidth="1"/>
    <col min="5125" max="5125" width="14.6328125" style="133" customWidth="1"/>
    <col min="5126" max="5127" width="20" style="133" customWidth="1"/>
    <col min="5128" max="5128" width="0" style="133" hidden="1" customWidth="1"/>
    <col min="5129" max="5129" width="19.54296875" style="133" customWidth="1"/>
    <col min="5130" max="5375" width="11.1796875" style="133" customWidth="1"/>
    <col min="5376" max="5376" width="12.90625" style="133"/>
    <col min="5377" max="5377" width="21.36328125" style="133" customWidth="1"/>
    <col min="5378" max="5378" width="31.1796875" style="133" customWidth="1"/>
    <col min="5379" max="5379" width="19.54296875" style="133" customWidth="1"/>
    <col min="5380" max="5380" width="30.81640625" style="133" customWidth="1"/>
    <col min="5381" max="5381" width="14.6328125" style="133" customWidth="1"/>
    <col min="5382" max="5383" width="20" style="133" customWidth="1"/>
    <col min="5384" max="5384" width="0" style="133" hidden="1" customWidth="1"/>
    <col min="5385" max="5385" width="19.54296875" style="133" customWidth="1"/>
    <col min="5386" max="5631" width="11.1796875" style="133" customWidth="1"/>
    <col min="5632" max="5632" width="12.90625" style="133"/>
    <col min="5633" max="5633" width="21.36328125" style="133" customWidth="1"/>
    <col min="5634" max="5634" width="31.1796875" style="133" customWidth="1"/>
    <col min="5635" max="5635" width="19.54296875" style="133" customWidth="1"/>
    <col min="5636" max="5636" width="30.81640625" style="133" customWidth="1"/>
    <col min="5637" max="5637" width="14.6328125" style="133" customWidth="1"/>
    <col min="5638" max="5639" width="20" style="133" customWidth="1"/>
    <col min="5640" max="5640" width="0" style="133" hidden="1" customWidth="1"/>
    <col min="5641" max="5641" width="19.54296875" style="133" customWidth="1"/>
    <col min="5642" max="5887" width="11.1796875" style="133" customWidth="1"/>
    <col min="5888" max="5888" width="12.90625" style="133"/>
    <col min="5889" max="5889" width="21.36328125" style="133" customWidth="1"/>
    <col min="5890" max="5890" width="31.1796875" style="133" customWidth="1"/>
    <col min="5891" max="5891" width="19.54296875" style="133" customWidth="1"/>
    <col min="5892" max="5892" width="30.81640625" style="133" customWidth="1"/>
    <col min="5893" max="5893" width="14.6328125" style="133" customWidth="1"/>
    <col min="5894" max="5895" width="20" style="133" customWidth="1"/>
    <col min="5896" max="5896" width="0" style="133" hidden="1" customWidth="1"/>
    <col min="5897" max="5897" width="19.54296875" style="133" customWidth="1"/>
    <col min="5898" max="6143" width="11.1796875" style="133" customWidth="1"/>
    <col min="6144" max="6144" width="12.90625" style="133"/>
    <col min="6145" max="6145" width="21.36328125" style="133" customWidth="1"/>
    <col min="6146" max="6146" width="31.1796875" style="133" customWidth="1"/>
    <col min="6147" max="6147" width="19.54296875" style="133" customWidth="1"/>
    <col min="6148" max="6148" width="30.81640625" style="133" customWidth="1"/>
    <col min="6149" max="6149" width="14.6328125" style="133" customWidth="1"/>
    <col min="6150" max="6151" width="20" style="133" customWidth="1"/>
    <col min="6152" max="6152" width="0" style="133" hidden="1" customWidth="1"/>
    <col min="6153" max="6153" width="19.54296875" style="133" customWidth="1"/>
    <col min="6154" max="6399" width="11.1796875" style="133" customWidth="1"/>
    <col min="6400" max="6400" width="12.90625" style="133"/>
    <col min="6401" max="6401" width="21.36328125" style="133" customWidth="1"/>
    <col min="6402" max="6402" width="31.1796875" style="133" customWidth="1"/>
    <col min="6403" max="6403" width="19.54296875" style="133" customWidth="1"/>
    <col min="6404" max="6404" width="30.81640625" style="133" customWidth="1"/>
    <col min="6405" max="6405" width="14.6328125" style="133" customWidth="1"/>
    <col min="6406" max="6407" width="20" style="133" customWidth="1"/>
    <col min="6408" max="6408" width="0" style="133" hidden="1" customWidth="1"/>
    <col min="6409" max="6409" width="19.54296875" style="133" customWidth="1"/>
    <col min="6410" max="6655" width="11.1796875" style="133" customWidth="1"/>
    <col min="6656" max="6656" width="12.90625" style="133"/>
    <col min="6657" max="6657" width="21.36328125" style="133" customWidth="1"/>
    <col min="6658" max="6658" width="31.1796875" style="133" customWidth="1"/>
    <col min="6659" max="6659" width="19.54296875" style="133" customWidth="1"/>
    <col min="6660" max="6660" width="30.81640625" style="133" customWidth="1"/>
    <col min="6661" max="6661" width="14.6328125" style="133" customWidth="1"/>
    <col min="6662" max="6663" width="20" style="133" customWidth="1"/>
    <col min="6664" max="6664" width="0" style="133" hidden="1" customWidth="1"/>
    <col min="6665" max="6665" width="19.54296875" style="133" customWidth="1"/>
    <col min="6666" max="6911" width="11.1796875" style="133" customWidth="1"/>
    <col min="6912" max="6912" width="12.90625" style="133"/>
    <col min="6913" max="6913" width="21.36328125" style="133" customWidth="1"/>
    <col min="6914" max="6914" width="31.1796875" style="133" customWidth="1"/>
    <col min="6915" max="6915" width="19.54296875" style="133" customWidth="1"/>
    <col min="6916" max="6916" width="30.81640625" style="133" customWidth="1"/>
    <col min="6917" max="6917" width="14.6328125" style="133" customWidth="1"/>
    <col min="6918" max="6919" width="20" style="133" customWidth="1"/>
    <col min="6920" max="6920" width="0" style="133" hidden="1" customWidth="1"/>
    <col min="6921" max="6921" width="19.54296875" style="133" customWidth="1"/>
    <col min="6922" max="7167" width="11.1796875" style="133" customWidth="1"/>
    <col min="7168" max="7168" width="12.90625" style="133"/>
    <col min="7169" max="7169" width="21.36328125" style="133" customWidth="1"/>
    <col min="7170" max="7170" width="31.1796875" style="133" customWidth="1"/>
    <col min="7171" max="7171" width="19.54296875" style="133" customWidth="1"/>
    <col min="7172" max="7172" width="30.81640625" style="133" customWidth="1"/>
    <col min="7173" max="7173" width="14.6328125" style="133" customWidth="1"/>
    <col min="7174" max="7175" width="20" style="133" customWidth="1"/>
    <col min="7176" max="7176" width="0" style="133" hidden="1" customWidth="1"/>
    <col min="7177" max="7177" width="19.54296875" style="133" customWidth="1"/>
    <col min="7178" max="7423" width="11.1796875" style="133" customWidth="1"/>
    <col min="7424" max="7424" width="12.90625" style="133"/>
    <col min="7425" max="7425" width="21.36328125" style="133" customWidth="1"/>
    <col min="7426" max="7426" width="31.1796875" style="133" customWidth="1"/>
    <col min="7427" max="7427" width="19.54296875" style="133" customWidth="1"/>
    <col min="7428" max="7428" width="30.81640625" style="133" customWidth="1"/>
    <col min="7429" max="7429" width="14.6328125" style="133" customWidth="1"/>
    <col min="7430" max="7431" width="20" style="133" customWidth="1"/>
    <col min="7432" max="7432" width="0" style="133" hidden="1" customWidth="1"/>
    <col min="7433" max="7433" width="19.54296875" style="133" customWidth="1"/>
    <col min="7434" max="7679" width="11.1796875" style="133" customWidth="1"/>
    <col min="7680" max="7680" width="12.90625" style="133"/>
    <col min="7681" max="7681" width="21.36328125" style="133" customWidth="1"/>
    <col min="7682" max="7682" width="31.1796875" style="133" customWidth="1"/>
    <col min="7683" max="7683" width="19.54296875" style="133" customWidth="1"/>
    <col min="7684" max="7684" width="30.81640625" style="133" customWidth="1"/>
    <col min="7685" max="7685" width="14.6328125" style="133" customWidth="1"/>
    <col min="7686" max="7687" width="20" style="133" customWidth="1"/>
    <col min="7688" max="7688" width="0" style="133" hidden="1" customWidth="1"/>
    <col min="7689" max="7689" width="19.54296875" style="133" customWidth="1"/>
    <col min="7690" max="7935" width="11.1796875" style="133" customWidth="1"/>
    <col min="7936" max="7936" width="12.90625" style="133"/>
    <col min="7937" max="7937" width="21.36328125" style="133" customWidth="1"/>
    <col min="7938" max="7938" width="31.1796875" style="133" customWidth="1"/>
    <col min="7939" max="7939" width="19.54296875" style="133" customWidth="1"/>
    <col min="7940" max="7940" width="30.81640625" style="133" customWidth="1"/>
    <col min="7941" max="7941" width="14.6328125" style="133" customWidth="1"/>
    <col min="7942" max="7943" width="20" style="133" customWidth="1"/>
    <col min="7944" max="7944" width="0" style="133" hidden="1" customWidth="1"/>
    <col min="7945" max="7945" width="19.54296875" style="133" customWidth="1"/>
    <col min="7946" max="8191" width="11.1796875" style="133" customWidth="1"/>
    <col min="8192" max="8192" width="12.90625" style="133"/>
    <col min="8193" max="8193" width="21.36328125" style="133" customWidth="1"/>
    <col min="8194" max="8194" width="31.1796875" style="133" customWidth="1"/>
    <col min="8195" max="8195" width="19.54296875" style="133" customWidth="1"/>
    <col min="8196" max="8196" width="30.81640625" style="133" customWidth="1"/>
    <col min="8197" max="8197" width="14.6328125" style="133" customWidth="1"/>
    <col min="8198" max="8199" width="20" style="133" customWidth="1"/>
    <col min="8200" max="8200" width="0" style="133" hidden="1" customWidth="1"/>
    <col min="8201" max="8201" width="19.54296875" style="133" customWidth="1"/>
    <col min="8202" max="8447" width="11.1796875" style="133" customWidth="1"/>
    <col min="8448" max="8448" width="12.90625" style="133"/>
    <col min="8449" max="8449" width="21.36328125" style="133" customWidth="1"/>
    <col min="8450" max="8450" width="31.1796875" style="133" customWidth="1"/>
    <col min="8451" max="8451" width="19.54296875" style="133" customWidth="1"/>
    <col min="8452" max="8452" width="30.81640625" style="133" customWidth="1"/>
    <col min="8453" max="8453" width="14.6328125" style="133" customWidth="1"/>
    <col min="8454" max="8455" width="20" style="133" customWidth="1"/>
    <col min="8456" max="8456" width="0" style="133" hidden="1" customWidth="1"/>
    <col min="8457" max="8457" width="19.54296875" style="133" customWidth="1"/>
    <col min="8458" max="8703" width="11.1796875" style="133" customWidth="1"/>
    <col min="8704" max="8704" width="12.90625" style="133"/>
    <col min="8705" max="8705" width="21.36328125" style="133" customWidth="1"/>
    <col min="8706" max="8706" width="31.1796875" style="133" customWidth="1"/>
    <col min="8707" max="8707" width="19.54296875" style="133" customWidth="1"/>
    <col min="8708" max="8708" width="30.81640625" style="133" customWidth="1"/>
    <col min="8709" max="8709" width="14.6328125" style="133" customWidth="1"/>
    <col min="8710" max="8711" width="20" style="133" customWidth="1"/>
    <col min="8712" max="8712" width="0" style="133" hidden="1" customWidth="1"/>
    <col min="8713" max="8713" width="19.54296875" style="133" customWidth="1"/>
    <col min="8714" max="8959" width="11.1796875" style="133" customWidth="1"/>
    <col min="8960" max="8960" width="12.90625" style="133"/>
    <col min="8961" max="8961" width="21.36328125" style="133" customWidth="1"/>
    <col min="8962" max="8962" width="31.1796875" style="133" customWidth="1"/>
    <col min="8963" max="8963" width="19.54296875" style="133" customWidth="1"/>
    <col min="8964" max="8964" width="30.81640625" style="133" customWidth="1"/>
    <col min="8965" max="8965" width="14.6328125" style="133" customWidth="1"/>
    <col min="8966" max="8967" width="20" style="133" customWidth="1"/>
    <col min="8968" max="8968" width="0" style="133" hidden="1" customWidth="1"/>
    <col min="8969" max="8969" width="19.54296875" style="133" customWidth="1"/>
    <col min="8970" max="9215" width="11.1796875" style="133" customWidth="1"/>
    <col min="9216" max="9216" width="12.90625" style="133"/>
    <col min="9217" max="9217" width="21.36328125" style="133" customWidth="1"/>
    <col min="9218" max="9218" width="31.1796875" style="133" customWidth="1"/>
    <col min="9219" max="9219" width="19.54296875" style="133" customWidth="1"/>
    <col min="9220" max="9220" width="30.81640625" style="133" customWidth="1"/>
    <col min="9221" max="9221" width="14.6328125" style="133" customWidth="1"/>
    <col min="9222" max="9223" width="20" style="133" customWidth="1"/>
    <col min="9224" max="9224" width="0" style="133" hidden="1" customWidth="1"/>
    <col min="9225" max="9225" width="19.54296875" style="133" customWidth="1"/>
    <col min="9226" max="9471" width="11.1796875" style="133" customWidth="1"/>
    <col min="9472" max="9472" width="12.90625" style="133"/>
    <col min="9473" max="9473" width="21.36328125" style="133" customWidth="1"/>
    <col min="9474" max="9474" width="31.1796875" style="133" customWidth="1"/>
    <col min="9475" max="9475" width="19.54296875" style="133" customWidth="1"/>
    <col min="9476" max="9476" width="30.81640625" style="133" customWidth="1"/>
    <col min="9477" max="9477" width="14.6328125" style="133" customWidth="1"/>
    <col min="9478" max="9479" width="20" style="133" customWidth="1"/>
    <col min="9480" max="9480" width="0" style="133" hidden="1" customWidth="1"/>
    <col min="9481" max="9481" width="19.54296875" style="133" customWidth="1"/>
    <col min="9482" max="9727" width="11.1796875" style="133" customWidth="1"/>
    <col min="9728" max="9728" width="12.90625" style="133"/>
    <col min="9729" max="9729" width="21.36328125" style="133" customWidth="1"/>
    <col min="9730" max="9730" width="31.1796875" style="133" customWidth="1"/>
    <col min="9731" max="9731" width="19.54296875" style="133" customWidth="1"/>
    <col min="9732" max="9732" width="30.81640625" style="133" customWidth="1"/>
    <col min="9733" max="9733" width="14.6328125" style="133" customWidth="1"/>
    <col min="9734" max="9735" width="20" style="133" customWidth="1"/>
    <col min="9736" max="9736" width="0" style="133" hidden="1" customWidth="1"/>
    <col min="9737" max="9737" width="19.54296875" style="133" customWidth="1"/>
    <col min="9738" max="9983" width="11.1796875" style="133" customWidth="1"/>
    <col min="9984" max="9984" width="12.90625" style="133"/>
    <col min="9985" max="9985" width="21.36328125" style="133" customWidth="1"/>
    <col min="9986" max="9986" width="31.1796875" style="133" customWidth="1"/>
    <col min="9987" max="9987" width="19.54296875" style="133" customWidth="1"/>
    <col min="9988" max="9988" width="30.81640625" style="133" customWidth="1"/>
    <col min="9989" max="9989" width="14.6328125" style="133" customWidth="1"/>
    <col min="9990" max="9991" width="20" style="133" customWidth="1"/>
    <col min="9992" max="9992" width="0" style="133" hidden="1" customWidth="1"/>
    <col min="9993" max="9993" width="19.54296875" style="133" customWidth="1"/>
    <col min="9994" max="10239" width="11.1796875" style="133" customWidth="1"/>
    <col min="10240" max="10240" width="12.90625" style="133"/>
    <col min="10241" max="10241" width="21.36328125" style="133" customWidth="1"/>
    <col min="10242" max="10242" width="31.1796875" style="133" customWidth="1"/>
    <col min="10243" max="10243" width="19.54296875" style="133" customWidth="1"/>
    <col min="10244" max="10244" width="30.81640625" style="133" customWidth="1"/>
    <col min="10245" max="10245" width="14.6328125" style="133" customWidth="1"/>
    <col min="10246" max="10247" width="20" style="133" customWidth="1"/>
    <col min="10248" max="10248" width="0" style="133" hidden="1" customWidth="1"/>
    <col min="10249" max="10249" width="19.54296875" style="133" customWidth="1"/>
    <col min="10250" max="10495" width="11.1796875" style="133" customWidth="1"/>
    <col min="10496" max="10496" width="12.90625" style="133"/>
    <col min="10497" max="10497" width="21.36328125" style="133" customWidth="1"/>
    <col min="10498" max="10498" width="31.1796875" style="133" customWidth="1"/>
    <col min="10499" max="10499" width="19.54296875" style="133" customWidth="1"/>
    <col min="10500" max="10500" width="30.81640625" style="133" customWidth="1"/>
    <col min="10501" max="10501" width="14.6328125" style="133" customWidth="1"/>
    <col min="10502" max="10503" width="20" style="133" customWidth="1"/>
    <col min="10504" max="10504" width="0" style="133" hidden="1" customWidth="1"/>
    <col min="10505" max="10505" width="19.54296875" style="133" customWidth="1"/>
    <col min="10506" max="10751" width="11.1796875" style="133" customWidth="1"/>
    <col min="10752" max="10752" width="12.90625" style="133"/>
    <col min="10753" max="10753" width="21.36328125" style="133" customWidth="1"/>
    <col min="10754" max="10754" width="31.1796875" style="133" customWidth="1"/>
    <col min="10755" max="10755" width="19.54296875" style="133" customWidth="1"/>
    <col min="10756" max="10756" width="30.81640625" style="133" customWidth="1"/>
    <col min="10757" max="10757" width="14.6328125" style="133" customWidth="1"/>
    <col min="10758" max="10759" width="20" style="133" customWidth="1"/>
    <col min="10760" max="10760" width="0" style="133" hidden="1" customWidth="1"/>
    <col min="10761" max="10761" width="19.54296875" style="133" customWidth="1"/>
    <col min="10762" max="11007" width="11.1796875" style="133" customWidth="1"/>
    <col min="11008" max="11008" width="12.90625" style="133"/>
    <col min="11009" max="11009" width="21.36328125" style="133" customWidth="1"/>
    <col min="11010" max="11010" width="31.1796875" style="133" customWidth="1"/>
    <col min="11011" max="11011" width="19.54296875" style="133" customWidth="1"/>
    <col min="11012" max="11012" width="30.81640625" style="133" customWidth="1"/>
    <col min="11013" max="11013" width="14.6328125" style="133" customWidth="1"/>
    <col min="11014" max="11015" width="20" style="133" customWidth="1"/>
    <col min="11016" max="11016" width="0" style="133" hidden="1" customWidth="1"/>
    <col min="11017" max="11017" width="19.54296875" style="133" customWidth="1"/>
    <col min="11018" max="11263" width="11.1796875" style="133" customWidth="1"/>
    <col min="11264" max="11264" width="12.90625" style="133"/>
    <col min="11265" max="11265" width="21.36328125" style="133" customWidth="1"/>
    <col min="11266" max="11266" width="31.1796875" style="133" customWidth="1"/>
    <col min="11267" max="11267" width="19.54296875" style="133" customWidth="1"/>
    <col min="11268" max="11268" width="30.81640625" style="133" customWidth="1"/>
    <col min="11269" max="11269" width="14.6328125" style="133" customWidth="1"/>
    <col min="11270" max="11271" width="20" style="133" customWidth="1"/>
    <col min="11272" max="11272" width="0" style="133" hidden="1" customWidth="1"/>
    <col min="11273" max="11273" width="19.54296875" style="133" customWidth="1"/>
    <col min="11274" max="11519" width="11.1796875" style="133" customWidth="1"/>
    <col min="11520" max="11520" width="12.90625" style="133"/>
    <col min="11521" max="11521" width="21.36328125" style="133" customWidth="1"/>
    <col min="11522" max="11522" width="31.1796875" style="133" customWidth="1"/>
    <col min="11523" max="11523" width="19.54296875" style="133" customWidth="1"/>
    <col min="11524" max="11524" width="30.81640625" style="133" customWidth="1"/>
    <col min="11525" max="11525" width="14.6328125" style="133" customWidth="1"/>
    <col min="11526" max="11527" width="20" style="133" customWidth="1"/>
    <col min="11528" max="11528" width="0" style="133" hidden="1" customWidth="1"/>
    <col min="11529" max="11529" width="19.54296875" style="133" customWidth="1"/>
    <col min="11530" max="11775" width="11.1796875" style="133" customWidth="1"/>
    <col min="11776" max="11776" width="12.90625" style="133"/>
    <col min="11777" max="11777" width="21.36328125" style="133" customWidth="1"/>
    <col min="11778" max="11778" width="31.1796875" style="133" customWidth="1"/>
    <col min="11779" max="11779" width="19.54296875" style="133" customWidth="1"/>
    <col min="11780" max="11780" width="30.81640625" style="133" customWidth="1"/>
    <col min="11781" max="11781" width="14.6328125" style="133" customWidth="1"/>
    <col min="11782" max="11783" width="20" style="133" customWidth="1"/>
    <col min="11784" max="11784" width="0" style="133" hidden="1" customWidth="1"/>
    <col min="11785" max="11785" width="19.54296875" style="133" customWidth="1"/>
    <col min="11786" max="12031" width="11.1796875" style="133" customWidth="1"/>
    <col min="12032" max="12032" width="12.90625" style="133"/>
    <col min="12033" max="12033" width="21.36328125" style="133" customWidth="1"/>
    <col min="12034" max="12034" width="31.1796875" style="133" customWidth="1"/>
    <col min="12035" max="12035" width="19.54296875" style="133" customWidth="1"/>
    <col min="12036" max="12036" width="30.81640625" style="133" customWidth="1"/>
    <col min="12037" max="12037" width="14.6328125" style="133" customWidth="1"/>
    <col min="12038" max="12039" width="20" style="133" customWidth="1"/>
    <col min="12040" max="12040" width="0" style="133" hidden="1" customWidth="1"/>
    <col min="12041" max="12041" width="19.54296875" style="133" customWidth="1"/>
    <col min="12042" max="12287" width="11.1796875" style="133" customWidth="1"/>
    <col min="12288" max="12288" width="12.90625" style="133"/>
    <col min="12289" max="12289" width="21.36328125" style="133" customWidth="1"/>
    <col min="12290" max="12290" width="31.1796875" style="133" customWidth="1"/>
    <col min="12291" max="12291" width="19.54296875" style="133" customWidth="1"/>
    <col min="12292" max="12292" width="30.81640625" style="133" customWidth="1"/>
    <col min="12293" max="12293" width="14.6328125" style="133" customWidth="1"/>
    <col min="12294" max="12295" width="20" style="133" customWidth="1"/>
    <col min="12296" max="12296" width="0" style="133" hidden="1" customWidth="1"/>
    <col min="12297" max="12297" width="19.54296875" style="133" customWidth="1"/>
    <col min="12298" max="12543" width="11.1796875" style="133" customWidth="1"/>
    <col min="12544" max="12544" width="12.90625" style="133"/>
    <col min="12545" max="12545" width="21.36328125" style="133" customWidth="1"/>
    <col min="12546" max="12546" width="31.1796875" style="133" customWidth="1"/>
    <col min="12547" max="12547" width="19.54296875" style="133" customWidth="1"/>
    <col min="12548" max="12548" width="30.81640625" style="133" customWidth="1"/>
    <col min="12549" max="12549" width="14.6328125" style="133" customWidth="1"/>
    <col min="12550" max="12551" width="20" style="133" customWidth="1"/>
    <col min="12552" max="12552" width="0" style="133" hidden="1" customWidth="1"/>
    <col min="12553" max="12553" width="19.54296875" style="133" customWidth="1"/>
    <col min="12554" max="12799" width="11.1796875" style="133" customWidth="1"/>
    <col min="12800" max="12800" width="12.90625" style="133"/>
    <col min="12801" max="12801" width="21.36328125" style="133" customWidth="1"/>
    <col min="12802" max="12802" width="31.1796875" style="133" customWidth="1"/>
    <col min="12803" max="12803" width="19.54296875" style="133" customWidth="1"/>
    <col min="12804" max="12804" width="30.81640625" style="133" customWidth="1"/>
    <col min="12805" max="12805" width="14.6328125" style="133" customWidth="1"/>
    <col min="12806" max="12807" width="20" style="133" customWidth="1"/>
    <col min="12808" max="12808" width="0" style="133" hidden="1" customWidth="1"/>
    <col min="12809" max="12809" width="19.54296875" style="133" customWidth="1"/>
    <col min="12810" max="13055" width="11.1796875" style="133" customWidth="1"/>
    <col min="13056" max="13056" width="12.90625" style="133"/>
    <col min="13057" max="13057" width="21.36328125" style="133" customWidth="1"/>
    <col min="13058" max="13058" width="31.1796875" style="133" customWidth="1"/>
    <col min="13059" max="13059" width="19.54296875" style="133" customWidth="1"/>
    <col min="13060" max="13060" width="30.81640625" style="133" customWidth="1"/>
    <col min="13061" max="13061" width="14.6328125" style="133" customWidth="1"/>
    <col min="13062" max="13063" width="20" style="133" customWidth="1"/>
    <col min="13064" max="13064" width="0" style="133" hidden="1" customWidth="1"/>
    <col min="13065" max="13065" width="19.54296875" style="133" customWidth="1"/>
    <col min="13066" max="13311" width="11.1796875" style="133" customWidth="1"/>
    <col min="13312" max="13312" width="12.90625" style="133"/>
    <col min="13313" max="13313" width="21.36328125" style="133" customWidth="1"/>
    <col min="13314" max="13314" width="31.1796875" style="133" customWidth="1"/>
    <col min="13315" max="13315" width="19.54296875" style="133" customWidth="1"/>
    <col min="13316" max="13316" width="30.81640625" style="133" customWidth="1"/>
    <col min="13317" max="13317" width="14.6328125" style="133" customWidth="1"/>
    <col min="13318" max="13319" width="20" style="133" customWidth="1"/>
    <col min="13320" max="13320" width="0" style="133" hidden="1" customWidth="1"/>
    <col min="13321" max="13321" width="19.54296875" style="133" customWidth="1"/>
    <col min="13322" max="13567" width="11.1796875" style="133" customWidth="1"/>
    <col min="13568" max="13568" width="12.90625" style="133"/>
    <col min="13569" max="13569" width="21.36328125" style="133" customWidth="1"/>
    <col min="13570" max="13570" width="31.1796875" style="133" customWidth="1"/>
    <col min="13571" max="13571" width="19.54296875" style="133" customWidth="1"/>
    <col min="13572" max="13572" width="30.81640625" style="133" customWidth="1"/>
    <col min="13573" max="13573" width="14.6328125" style="133" customWidth="1"/>
    <col min="13574" max="13575" width="20" style="133" customWidth="1"/>
    <col min="13576" max="13576" width="0" style="133" hidden="1" customWidth="1"/>
    <col min="13577" max="13577" width="19.54296875" style="133" customWidth="1"/>
    <col min="13578" max="13823" width="11.1796875" style="133" customWidth="1"/>
    <col min="13824" max="13824" width="12.90625" style="133"/>
    <col min="13825" max="13825" width="21.36328125" style="133" customWidth="1"/>
    <col min="13826" max="13826" width="31.1796875" style="133" customWidth="1"/>
    <col min="13827" max="13827" width="19.54296875" style="133" customWidth="1"/>
    <col min="13828" max="13828" width="30.81640625" style="133" customWidth="1"/>
    <col min="13829" max="13829" width="14.6328125" style="133" customWidth="1"/>
    <col min="13830" max="13831" width="20" style="133" customWidth="1"/>
    <col min="13832" max="13832" width="0" style="133" hidden="1" customWidth="1"/>
    <col min="13833" max="13833" width="19.54296875" style="133" customWidth="1"/>
    <col min="13834" max="14079" width="11.1796875" style="133" customWidth="1"/>
    <col min="14080" max="14080" width="12.90625" style="133"/>
    <col min="14081" max="14081" width="21.36328125" style="133" customWidth="1"/>
    <col min="14082" max="14082" width="31.1796875" style="133" customWidth="1"/>
    <col min="14083" max="14083" width="19.54296875" style="133" customWidth="1"/>
    <col min="14084" max="14084" width="30.81640625" style="133" customWidth="1"/>
    <col min="14085" max="14085" width="14.6328125" style="133" customWidth="1"/>
    <col min="14086" max="14087" width="20" style="133" customWidth="1"/>
    <col min="14088" max="14088" width="0" style="133" hidden="1" customWidth="1"/>
    <col min="14089" max="14089" width="19.54296875" style="133" customWidth="1"/>
    <col min="14090" max="14335" width="11.1796875" style="133" customWidth="1"/>
    <col min="14336" max="14336" width="12.90625" style="133"/>
    <col min="14337" max="14337" width="21.36328125" style="133" customWidth="1"/>
    <col min="14338" max="14338" width="31.1796875" style="133" customWidth="1"/>
    <col min="14339" max="14339" width="19.54296875" style="133" customWidth="1"/>
    <col min="14340" max="14340" width="30.81640625" style="133" customWidth="1"/>
    <col min="14341" max="14341" width="14.6328125" style="133" customWidth="1"/>
    <col min="14342" max="14343" width="20" style="133" customWidth="1"/>
    <col min="14344" max="14344" width="0" style="133" hidden="1" customWidth="1"/>
    <col min="14345" max="14345" width="19.54296875" style="133" customWidth="1"/>
    <col min="14346" max="14591" width="11.1796875" style="133" customWidth="1"/>
    <col min="14592" max="14592" width="12.90625" style="133"/>
    <col min="14593" max="14593" width="21.36328125" style="133" customWidth="1"/>
    <col min="14594" max="14594" width="31.1796875" style="133" customWidth="1"/>
    <col min="14595" max="14595" width="19.54296875" style="133" customWidth="1"/>
    <col min="14596" max="14596" width="30.81640625" style="133" customWidth="1"/>
    <col min="14597" max="14597" width="14.6328125" style="133" customWidth="1"/>
    <col min="14598" max="14599" width="20" style="133" customWidth="1"/>
    <col min="14600" max="14600" width="0" style="133" hidden="1" customWidth="1"/>
    <col min="14601" max="14601" width="19.54296875" style="133" customWidth="1"/>
    <col min="14602" max="14847" width="11.1796875" style="133" customWidth="1"/>
    <col min="14848" max="14848" width="12.90625" style="133"/>
    <col min="14849" max="14849" width="21.36328125" style="133" customWidth="1"/>
    <col min="14850" max="14850" width="31.1796875" style="133" customWidth="1"/>
    <col min="14851" max="14851" width="19.54296875" style="133" customWidth="1"/>
    <col min="14852" max="14852" width="30.81640625" style="133" customWidth="1"/>
    <col min="14853" max="14853" width="14.6328125" style="133" customWidth="1"/>
    <col min="14854" max="14855" width="20" style="133" customWidth="1"/>
    <col min="14856" max="14856" width="0" style="133" hidden="1" customWidth="1"/>
    <col min="14857" max="14857" width="19.54296875" style="133" customWidth="1"/>
    <col min="14858" max="15103" width="11.1796875" style="133" customWidth="1"/>
    <col min="15104" max="15104" width="12.90625" style="133"/>
    <col min="15105" max="15105" width="21.36328125" style="133" customWidth="1"/>
    <col min="15106" max="15106" width="31.1796875" style="133" customWidth="1"/>
    <col min="15107" max="15107" width="19.54296875" style="133" customWidth="1"/>
    <col min="15108" max="15108" width="30.81640625" style="133" customWidth="1"/>
    <col min="15109" max="15109" width="14.6328125" style="133" customWidth="1"/>
    <col min="15110" max="15111" width="20" style="133" customWidth="1"/>
    <col min="15112" max="15112" width="0" style="133" hidden="1" customWidth="1"/>
    <col min="15113" max="15113" width="19.54296875" style="133" customWidth="1"/>
    <col min="15114" max="15359" width="11.1796875" style="133" customWidth="1"/>
    <col min="15360" max="15360" width="12.90625" style="133"/>
    <col min="15361" max="15361" width="21.36328125" style="133" customWidth="1"/>
    <col min="15362" max="15362" width="31.1796875" style="133" customWidth="1"/>
    <col min="15363" max="15363" width="19.54296875" style="133" customWidth="1"/>
    <col min="15364" max="15364" width="30.81640625" style="133" customWidth="1"/>
    <col min="15365" max="15365" width="14.6328125" style="133" customWidth="1"/>
    <col min="15366" max="15367" width="20" style="133" customWidth="1"/>
    <col min="15368" max="15368" width="0" style="133" hidden="1" customWidth="1"/>
    <col min="15369" max="15369" width="19.54296875" style="133" customWidth="1"/>
    <col min="15370" max="15615" width="11.1796875" style="133" customWidth="1"/>
    <col min="15616" max="15616" width="12.90625" style="133"/>
    <col min="15617" max="15617" width="21.36328125" style="133" customWidth="1"/>
    <col min="15618" max="15618" width="31.1796875" style="133" customWidth="1"/>
    <col min="15619" max="15619" width="19.54296875" style="133" customWidth="1"/>
    <col min="15620" max="15620" width="30.81640625" style="133" customWidth="1"/>
    <col min="15621" max="15621" width="14.6328125" style="133" customWidth="1"/>
    <col min="15622" max="15623" width="20" style="133" customWidth="1"/>
    <col min="15624" max="15624" width="0" style="133" hidden="1" customWidth="1"/>
    <col min="15625" max="15625" width="19.54296875" style="133" customWidth="1"/>
    <col min="15626" max="15871" width="11.1796875" style="133" customWidth="1"/>
    <col min="15872" max="15872" width="12.90625" style="133"/>
    <col min="15873" max="15873" width="21.36328125" style="133" customWidth="1"/>
    <col min="15874" max="15874" width="31.1796875" style="133" customWidth="1"/>
    <col min="15875" max="15875" width="19.54296875" style="133" customWidth="1"/>
    <col min="15876" max="15876" width="30.81640625" style="133" customWidth="1"/>
    <col min="15877" max="15877" width="14.6328125" style="133" customWidth="1"/>
    <col min="15878" max="15879" width="20" style="133" customWidth="1"/>
    <col min="15880" max="15880" width="0" style="133" hidden="1" customWidth="1"/>
    <col min="15881" max="15881" width="19.54296875" style="133" customWidth="1"/>
    <col min="15882" max="16127" width="11.1796875" style="133" customWidth="1"/>
    <col min="16128" max="16128" width="12.90625" style="133"/>
    <col min="16129" max="16129" width="21.36328125" style="133" customWidth="1"/>
    <col min="16130" max="16130" width="31.1796875" style="133" customWidth="1"/>
    <col min="16131" max="16131" width="19.54296875" style="133" customWidth="1"/>
    <col min="16132" max="16132" width="30.81640625" style="133" customWidth="1"/>
    <col min="16133" max="16133" width="14.6328125" style="133" customWidth="1"/>
    <col min="16134" max="16135" width="20" style="133" customWidth="1"/>
    <col min="16136" max="16136" width="0" style="133" hidden="1" customWidth="1"/>
    <col min="16137" max="16137" width="19.54296875" style="133" customWidth="1"/>
    <col min="16138" max="16383" width="11.1796875" style="133" customWidth="1"/>
    <col min="16384" max="16384" width="12.90625" style="133"/>
  </cols>
  <sheetData>
    <row r="1" spans="1:9" ht="26.15" customHeight="1">
      <c r="A1" s="285" t="s">
        <v>178</v>
      </c>
      <c r="B1" s="285"/>
      <c r="C1" s="285"/>
      <c r="D1" s="285"/>
      <c r="E1" s="285"/>
      <c r="F1" s="285"/>
      <c r="G1" s="285"/>
      <c r="H1" s="285"/>
      <c r="I1" s="285"/>
    </row>
    <row r="2" spans="1:9" ht="26.15" customHeight="1">
      <c r="A2" s="134"/>
      <c r="B2" s="135"/>
      <c r="C2" s="135"/>
      <c r="D2" s="135"/>
      <c r="E2" s="135"/>
      <c r="F2" s="135"/>
      <c r="G2" s="135"/>
      <c r="H2" s="135"/>
      <c r="I2" s="136"/>
    </row>
    <row r="3" spans="1:9" ht="26.15" customHeight="1">
      <c r="A3" s="286" t="s">
        <v>179</v>
      </c>
      <c r="B3" s="287"/>
      <c r="C3" s="287"/>
      <c r="D3" s="287"/>
      <c r="E3" s="287"/>
      <c r="F3" s="287"/>
      <c r="G3" s="287"/>
      <c r="H3" s="287"/>
      <c r="I3" s="288"/>
    </row>
    <row r="4" spans="1:9" ht="26.15" customHeight="1">
      <c r="A4" s="138"/>
      <c r="B4" s="139"/>
      <c r="C4" s="139"/>
      <c r="D4" s="139"/>
      <c r="E4" s="139"/>
      <c r="F4" s="139"/>
      <c r="G4" s="139"/>
      <c r="I4" s="140"/>
    </row>
    <row r="5" spans="1:9" ht="26.15" customHeight="1">
      <c r="A5" s="138" t="s">
        <v>180</v>
      </c>
      <c r="B5" s="139"/>
      <c r="C5" s="139"/>
      <c r="D5" s="139"/>
      <c r="E5" s="141" t="s">
        <v>0</v>
      </c>
      <c r="F5" s="142">
        <v>160</v>
      </c>
      <c r="G5" s="143" t="s">
        <v>123</v>
      </c>
      <c r="I5" s="140"/>
    </row>
    <row r="6" spans="1:9" ht="26.15" customHeight="1">
      <c r="A6" s="138"/>
      <c r="B6" s="139"/>
      <c r="C6" s="139"/>
      <c r="D6" s="139"/>
      <c r="E6" s="141"/>
      <c r="F6" s="142"/>
      <c r="G6" s="143"/>
      <c r="I6" s="140"/>
    </row>
    <row r="7" spans="1:9" ht="26.15" customHeight="1">
      <c r="A7" s="138" t="s">
        <v>181</v>
      </c>
      <c r="B7" s="139"/>
      <c r="C7" s="139"/>
      <c r="D7" s="139"/>
      <c r="E7" s="141" t="s">
        <v>0</v>
      </c>
      <c r="F7" s="142">
        <v>400</v>
      </c>
      <c r="G7" s="143" t="s">
        <v>182</v>
      </c>
      <c r="I7" s="140"/>
    </row>
    <row r="8" spans="1:9" ht="26.15" customHeight="1">
      <c r="A8" s="138"/>
      <c r="B8" s="139"/>
      <c r="C8" s="139"/>
      <c r="D8" s="139"/>
      <c r="E8" s="141"/>
      <c r="F8" s="141"/>
      <c r="G8" s="139"/>
      <c r="I8" s="140"/>
    </row>
    <row r="9" spans="1:9" ht="26.15" customHeight="1">
      <c r="A9" s="138" t="s">
        <v>183</v>
      </c>
      <c r="B9" s="139"/>
      <c r="C9" s="139"/>
      <c r="D9" s="144" t="s">
        <v>184</v>
      </c>
      <c r="E9" s="141" t="s">
        <v>0</v>
      </c>
      <c r="F9" s="142">
        <v>0.85</v>
      </c>
      <c r="G9" s="143"/>
      <c r="I9" s="140"/>
    </row>
    <row r="10" spans="1:9" ht="26.15" customHeight="1">
      <c r="A10" s="138"/>
      <c r="B10" s="139"/>
      <c r="C10" s="139"/>
      <c r="D10" s="141"/>
      <c r="E10" s="141"/>
      <c r="F10" s="141"/>
      <c r="G10" s="139"/>
      <c r="I10" s="140"/>
    </row>
    <row r="11" spans="1:9" ht="26.15" customHeight="1">
      <c r="A11" s="138" t="s">
        <v>185</v>
      </c>
      <c r="B11" s="139"/>
      <c r="C11" s="139"/>
      <c r="D11" s="144" t="s">
        <v>186</v>
      </c>
      <c r="E11" s="141" t="s">
        <v>0</v>
      </c>
      <c r="F11" s="142">
        <v>0.2</v>
      </c>
      <c r="G11" s="139"/>
      <c r="I11" s="140"/>
    </row>
    <row r="12" spans="1:9" ht="26.15" customHeight="1">
      <c r="A12" s="138"/>
      <c r="B12" s="139"/>
      <c r="C12" s="139"/>
      <c r="D12" s="141"/>
      <c r="E12" s="141"/>
      <c r="F12" s="141"/>
      <c r="G12" s="139"/>
      <c r="I12" s="140"/>
    </row>
    <row r="13" spans="1:9" ht="26.15" customHeight="1">
      <c r="A13" s="138" t="s">
        <v>187</v>
      </c>
      <c r="B13" s="139"/>
      <c r="C13" s="139"/>
      <c r="D13" s="141"/>
      <c r="E13" s="141" t="s">
        <v>0</v>
      </c>
      <c r="F13" s="142">
        <v>0.95</v>
      </c>
      <c r="G13" s="139"/>
      <c r="I13" s="140"/>
    </row>
    <row r="14" spans="1:9" ht="26.15" customHeight="1">
      <c r="A14" s="138"/>
      <c r="B14" s="139"/>
      <c r="C14" s="139"/>
      <c r="D14" s="141"/>
      <c r="E14" s="145"/>
      <c r="F14" s="137"/>
      <c r="G14" s="137"/>
      <c r="I14" s="140"/>
    </row>
    <row r="15" spans="1:9" ht="26.15" customHeight="1">
      <c r="A15" s="138" t="s">
        <v>188</v>
      </c>
      <c r="B15" s="139"/>
      <c r="C15" s="139"/>
      <c r="D15" s="141"/>
      <c r="E15" s="141" t="s">
        <v>0</v>
      </c>
      <c r="F15" s="139" t="s">
        <v>215</v>
      </c>
      <c r="G15" s="143"/>
      <c r="I15" s="140"/>
    </row>
    <row r="16" spans="1:9" ht="26.15" customHeight="1">
      <c r="A16" s="138"/>
      <c r="B16" s="139"/>
      <c r="C16" s="139"/>
      <c r="D16" s="141"/>
      <c r="E16" s="142"/>
      <c r="F16" s="143"/>
      <c r="G16" s="143"/>
      <c r="I16" s="140"/>
    </row>
    <row r="17" spans="1:9" ht="26.15" customHeight="1">
      <c r="A17" s="138" t="s">
        <v>189</v>
      </c>
      <c r="B17" s="139"/>
      <c r="C17" s="139"/>
      <c r="D17" s="145" t="s">
        <v>190</v>
      </c>
      <c r="E17" s="141" t="s">
        <v>0</v>
      </c>
      <c r="F17" s="139" t="s">
        <v>191</v>
      </c>
      <c r="G17" s="143"/>
      <c r="I17" s="140"/>
    </row>
    <row r="18" spans="1:9" ht="26.15" customHeight="1">
      <c r="A18" s="138"/>
      <c r="B18" s="139"/>
      <c r="C18" s="139"/>
      <c r="D18" s="141"/>
      <c r="E18" s="142"/>
      <c r="F18" s="143"/>
      <c r="G18" s="143"/>
      <c r="I18" s="140"/>
    </row>
    <row r="19" spans="1:9" ht="26.15" customHeight="1">
      <c r="A19" s="138"/>
      <c r="B19" s="139"/>
      <c r="C19" s="139"/>
      <c r="D19" s="141"/>
      <c r="E19" s="141" t="s">
        <v>0</v>
      </c>
      <c r="F19" s="146">
        <f>(F5*1000)/(1.732*F7*F13*F9)</f>
        <v>286.00233091899702</v>
      </c>
      <c r="G19" s="143"/>
      <c r="I19" s="140"/>
    </row>
    <row r="20" spans="1:9" ht="26.15" customHeight="1">
      <c r="A20" s="138"/>
      <c r="B20" s="139"/>
      <c r="C20" s="139"/>
      <c r="D20" s="145" t="s">
        <v>190</v>
      </c>
      <c r="E20" s="141" t="s">
        <v>0</v>
      </c>
      <c r="F20" s="139" t="s">
        <v>191</v>
      </c>
      <c r="G20" s="143"/>
      <c r="I20" s="140"/>
    </row>
    <row r="21" spans="1:9" ht="26.15" customHeight="1">
      <c r="A21" s="138"/>
      <c r="B21" s="139"/>
      <c r="C21" s="139"/>
      <c r="D21" s="145"/>
      <c r="E21" s="141"/>
      <c r="F21" s="139"/>
      <c r="G21" s="143"/>
      <c r="I21" s="140"/>
    </row>
    <row r="22" spans="1:9" ht="26.15" customHeight="1">
      <c r="A22" s="138" t="s">
        <v>192</v>
      </c>
      <c r="B22" s="139"/>
      <c r="C22" s="139"/>
      <c r="D22" s="141"/>
      <c r="E22" s="147" t="s">
        <v>0</v>
      </c>
      <c r="F22" s="148">
        <f>1.732*F7*F19/1000</f>
        <v>198.1424148606811</v>
      </c>
      <c r="G22" s="149" t="s">
        <v>193</v>
      </c>
      <c r="I22" s="140"/>
    </row>
    <row r="23" spans="1:9" ht="26.15" customHeight="1">
      <c r="A23" s="138"/>
      <c r="B23" s="139"/>
      <c r="C23" s="139"/>
      <c r="D23" s="141"/>
      <c r="E23" s="141"/>
      <c r="F23" s="139"/>
      <c r="G23" s="139"/>
      <c r="I23" s="140"/>
    </row>
    <row r="24" spans="1:9" ht="26.15" customHeight="1">
      <c r="A24" s="138" t="s">
        <v>194</v>
      </c>
      <c r="B24" s="139"/>
      <c r="C24" s="139"/>
      <c r="D24" s="145" t="s">
        <v>195</v>
      </c>
      <c r="E24" s="141" t="s">
        <v>0</v>
      </c>
      <c r="F24" s="143" t="s">
        <v>216</v>
      </c>
      <c r="G24" s="139"/>
      <c r="I24" s="140"/>
    </row>
    <row r="25" spans="1:9" ht="26.15" customHeight="1">
      <c r="A25" s="138"/>
      <c r="B25" s="139"/>
      <c r="C25" s="139"/>
      <c r="D25" s="141"/>
      <c r="E25" s="141"/>
      <c r="F25" s="139"/>
      <c r="G25" s="139"/>
      <c r="I25" s="140"/>
    </row>
    <row r="26" spans="1:9" ht="26.15" customHeight="1">
      <c r="A26" s="138"/>
      <c r="B26" s="139"/>
      <c r="C26" s="139"/>
      <c r="D26" s="141"/>
      <c r="E26" s="141" t="s">
        <v>0</v>
      </c>
      <c r="F26" s="146">
        <f>6*F19</f>
        <v>1716.0139855139821</v>
      </c>
      <c r="G26" s="139"/>
      <c r="I26" s="140"/>
    </row>
    <row r="27" spans="1:9" ht="26.15" customHeight="1">
      <c r="A27" s="138"/>
      <c r="B27" s="139"/>
      <c r="C27" s="139"/>
      <c r="D27" s="141"/>
      <c r="E27" s="141"/>
      <c r="F27" s="139"/>
      <c r="G27" s="139"/>
      <c r="I27" s="140"/>
    </row>
    <row r="28" spans="1:9" ht="26.15" customHeight="1">
      <c r="A28" s="138" t="s">
        <v>196</v>
      </c>
      <c r="B28" s="139"/>
      <c r="C28" s="139"/>
      <c r="D28" s="145" t="s">
        <v>197</v>
      </c>
      <c r="E28" s="141" t="s">
        <v>0</v>
      </c>
      <c r="F28" s="137" t="s">
        <v>198</v>
      </c>
      <c r="G28" s="137"/>
      <c r="H28" s="150"/>
      <c r="I28" s="140"/>
    </row>
    <row r="29" spans="1:9" ht="26.15" customHeight="1">
      <c r="A29" s="138"/>
      <c r="B29" s="139"/>
      <c r="C29" s="139"/>
      <c r="D29" s="141"/>
      <c r="E29" s="141"/>
      <c r="F29" s="139"/>
      <c r="G29" s="139"/>
      <c r="I29" s="140"/>
    </row>
    <row r="30" spans="1:9" ht="26.15" customHeight="1">
      <c r="A30" s="138"/>
      <c r="B30" s="139"/>
      <c r="C30" s="139"/>
      <c r="D30" s="141"/>
      <c r="E30" s="141" t="s">
        <v>0</v>
      </c>
      <c r="F30" s="146">
        <f>1.732*F7*F26*F11/1000</f>
        <v>237.77089783281738</v>
      </c>
      <c r="G30" s="139"/>
      <c r="I30" s="140"/>
    </row>
    <row r="31" spans="1:9" ht="26.15" customHeight="1">
      <c r="A31" s="138"/>
      <c r="B31" s="139"/>
      <c r="C31" s="139"/>
      <c r="D31" s="141"/>
      <c r="E31" s="141"/>
      <c r="F31" s="139"/>
      <c r="G31" s="139"/>
      <c r="I31" s="140"/>
    </row>
    <row r="32" spans="1:9" ht="26.15" customHeight="1">
      <c r="A32" s="138" t="s">
        <v>199</v>
      </c>
      <c r="B32" s="139"/>
      <c r="C32" s="139"/>
      <c r="D32" s="145" t="s">
        <v>200</v>
      </c>
      <c r="E32" s="141" t="s">
        <v>0</v>
      </c>
      <c r="F32" s="137" t="s">
        <v>201</v>
      </c>
      <c r="G32" s="139"/>
      <c r="I32" s="140"/>
    </row>
    <row r="33" spans="1:9" ht="26.15" customHeight="1">
      <c r="A33" s="138"/>
      <c r="B33" s="139"/>
      <c r="C33" s="139"/>
      <c r="D33" s="141"/>
      <c r="E33" s="141"/>
      <c r="F33" s="139"/>
      <c r="G33" s="139"/>
      <c r="I33" s="140"/>
    </row>
    <row r="34" spans="1:9" ht="26.15" customHeight="1">
      <c r="A34" s="138"/>
      <c r="B34" s="139"/>
      <c r="C34" s="139"/>
      <c r="D34" s="141"/>
      <c r="E34" s="141" t="s">
        <v>0</v>
      </c>
      <c r="F34" s="146">
        <f>F30/F11/F13</f>
        <v>1251.4257780674598</v>
      </c>
      <c r="G34" s="137" t="s">
        <v>193</v>
      </c>
      <c r="I34" s="140"/>
    </row>
    <row r="35" spans="1:9" ht="26.15" customHeight="1">
      <c r="A35" s="138"/>
      <c r="B35" s="139" t="s">
        <v>202</v>
      </c>
      <c r="C35" s="139"/>
      <c r="D35" s="139"/>
      <c r="E35" s="141"/>
      <c r="F35" s="139"/>
      <c r="G35" s="139"/>
      <c r="I35" s="140"/>
    </row>
    <row r="36" spans="1:9" ht="26.15" customHeight="1">
      <c r="A36" s="138" t="s">
        <v>203</v>
      </c>
      <c r="B36" s="139"/>
      <c r="C36" s="139"/>
      <c r="D36" s="139"/>
      <c r="E36" s="141" t="s">
        <v>0</v>
      </c>
      <c r="F36" s="137" t="s">
        <v>204</v>
      </c>
      <c r="G36" s="137"/>
      <c r="H36" s="150"/>
      <c r="I36" s="140"/>
    </row>
    <row r="37" spans="1:9" ht="26.15" customHeight="1">
      <c r="A37" s="138"/>
      <c r="B37" s="139"/>
      <c r="C37" s="139"/>
      <c r="D37" s="139"/>
      <c r="E37" s="141"/>
      <c r="F37" s="139"/>
      <c r="G37" s="139"/>
      <c r="I37" s="140"/>
    </row>
    <row r="38" spans="1:9" ht="26.15" customHeight="1">
      <c r="A38" s="138" t="s">
        <v>205</v>
      </c>
      <c r="B38" s="139"/>
      <c r="C38" s="139"/>
      <c r="D38" s="139"/>
      <c r="E38" s="141" t="s">
        <v>0</v>
      </c>
      <c r="F38" s="137" t="s">
        <v>206</v>
      </c>
      <c r="G38" s="137"/>
      <c r="H38" s="150"/>
      <c r="I38" s="151"/>
    </row>
    <row r="39" spans="1:9" ht="26.15" customHeight="1">
      <c r="A39" s="138"/>
      <c r="B39" s="139"/>
      <c r="C39" s="139"/>
      <c r="D39" s="139"/>
      <c r="E39" s="141"/>
      <c r="F39" s="139"/>
      <c r="G39" s="139"/>
      <c r="I39" s="140"/>
    </row>
    <row r="40" spans="1:9" ht="26.15" customHeight="1">
      <c r="A40" s="138"/>
      <c r="B40" s="139"/>
      <c r="C40" s="139"/>
      <c r="D40" s="139"/>
      <c r="E40" s="141" t="s">
        <v>0</v>
      </c>
      <c r="F40" s="146">
        <f>'[4]Annexure A'!I32-F22</f>
        <v>713.3755851393189</v>
      </c>
      <c r="G40" s="137" t="s">
        <v>193</v>
      </c>
      <c r="I40" s="140"/>
    </row>
    <row r="41" spans="1:9" ht="26.15" customHeight="1">
      <c r="A41" s="138"/>
      <c r="B41" s="139"/>
      <c r="C41" s="139"/>
      <c r="D41" s="139"/>
      <c r="E41" s="141"/>
      <c r="F41" s="137"/>
      <c r="G41" s="139"/>
      <c r="I41" s="140"/>
    </row>
    <row r="42" spans="1:9" ht="26.15" customHeight="1">
      <c r="A42" s="138" t="s">
        <v>207</v>
      </c>
      <c r="B42" s="139"/>
      <c r="C42" s="139"/>
      <c r="D42" s="139"/>
      <c r="E42" s="141" t="s">
        <v>0</v>
      </c>
      <c r="F42" s="137" t="s">
        <v>208</v>
      </c>
      <c r="G42" s="139"/>
      <c r="I42" s="140"/>
    </row>
    <row r="43" spans="1:9" ht="26.15" customHeight="1">
      <c r="A43" s="138"/>
      <c r="B43" s="139"/>
      <c r="C43" s="139"/>
      <c r="D43" s="139"/>
      <c r="E43" s="141"/>
      <c r="F43" s="139"/>
      <c r="G43" s="139"/>
      <c r="I43" s="140"/>
    </row>
    <row r="44" spans="1:9" ht="26.15" customHeight="1">
      <c r="A44" s="138"/>
      <c r="B44" s="139"/>
      <c r="C44" s="139"/>
      <c r="D44" s="139"/>
      <c r="E44" s="141" t="s">
        <v>0</v>
      </c>
      <c r="F44" s="148">
        <f>F40+F34</f>
        <v>1964.8013632067787</v>
      </c>
      <c r="G44" s="137" t="s">
        <v>193</v>
      </c>
      <c r="I44" s="140"/>
    </row>
    <row r="45" spans="1:9" ht="26.15" customHeight="1">
      <c r="A45" s="138"/>
      <c r="B45" s="139"/>
      <c r="C45" s="139"/>
      <c r="D45" s="139"/>
      <c r="E45" s="141"/>
      <c r="F45" s="137"/>
      <c r="G45" s="139"/>
      <c r="I45" s="140"/>
    </row>
    <row r="46" spans="1:9" ht="26.15" customHeight="1">
      <c r="A46" s="138" t="s">
        <v>209</v>
      </c>
      <c r="B46" s="139"/>
      <c r="C46" s="139"/>
      <c r="D46" s="139"/>
      <c r="E46" s="141" t="s">
        <v>0</v>
      </c>
      <c r="F46" s="142">
        <v>2040</v>
      </c>
      <c r="G46" s="137" t="s">
        <v>193</v>
      </c>
      <c r="I46" s="140"/>
    </row>
    <row r="47" spans="1:9" ht="26.15" customHeight="1">
      <c r="A47" s="138"/>
      <c r="B47" s="139"/>
      <c r="C47" s="139"/>
      <c r="D47" s="139"/>
      <c r="E47" s="141"/>
      <c r="F47" s="139"/>
      <c r="G47" s="139"/>
      <c r="I47" s="140"/>
    </row>
    <row r="48" spans="1:9" ht="45.65" customHeight="1">
      <c r="A48" s="289" t="s">
        <v>210</v>
      </c>
      <c r="B48" s="290"/>
      <c r="C48" s="290"/>
      <c r="D48" s="290"/>
      <c r="E48" s="290"/>
      <c r="F48" s="290"/>
      <c r="G48" s="290"/>
      <c r="H48" s="290"/>
      <c r="I48" s="291"/>
    </row>
    <row r="49" spans="1:9" ht="26.15" customHeight="1">
      <c r="A49" s="138"/>
      <c r="B49" s="139"/>
      <c r="C49" s="139"/>
      <c r="D49" s="139"/>
      <c r="E49" s="141"/>
      <c r="F49" s="139"/>
      <c r="G49" s="139"/>
      <c r="I49" s="140"/>
    </row>
    <row r="50" spans="1:9" ht="26.15" customHeight="1">
      <c r="A50" s="138" t="s">
        <v>211</v>
      </c>
      <c r="B50" s="139"/>
      <c r="C50" s="139"/>
      <c r="D50" s="139"/>
      <c r="E50" s="141" t="s">
        <v>0</v>
      </c>
      <c r="F50" s="142" t="s">
        <v>212</v>
      </c>
      <c r="G50" s="139"/>
      <c r="I50" s="140"/>
    </row>
    <row r="51" spans="1:9" ht="26.15" customHeight="1">
      <c r="A51" s="138"/>
      <c r="B51" s="139"/>
      <c r="C51" s="139"/>
      <c r="D51" s="139"/>
      <c r="E51" s="141"/>
      <c r="F51" s="139"/>
      <c r="G51" s="139"/>
      <c r="I51" s="140"/>
    </row>
    <row r="52" spans="1:9" ht="26.15" customHeight="1">
      <c r="A52" s="138"/>
      <c r="B52" s="139"/>
      <c r="C52" s="139"/>
      <c r="D52" s="139"/>
      <c r="E52" s="141" t="s">
        <v>0</v>
      </c>
      <c r="F52" s="142">
        <f>F46*1.5</f>
        <v>3060</v>
      </c>
      <c r="G52" s="137" t="s">
        <v>193</v>
      </c>
      <c r="I52" s="140"/>
    </row>
    <row r="53" spans="1:9" ht="26.15" customHeight="1">
      <c r="A53" s="138"/>
      <c r="B53" s="139"/>
      <c r="C53" s="139"/>
      <c r="D53" s="139"/>
      <c r="E53" s="139"/>
      <c r="F53" s="139"/>
      <c r="G53" s="139"/>
      <c r="I53" s="140"/>
    </row>
    <row r="54" spans="1:9" ht="26.15" customHeight="1">
      <c r="A54" s="138"/>
      <c r="B54" s="139"/>
      <c r="C54" s="139"/>
      <c r="D54" s="142">
        <f>F52</f>
        <v>3060</v>
      </c>
      <c r="E54" s="145" t="s">
        <v>213</v>
      </c>
      <c r="F54" s="148">
        <f>F44</f>
        <v>1964.8013632067787</v>
      </c>
      <c r="G54" s="137" t="s">
        <v>193</v>
      </c>
      <c r="I54" s="140"/>
    </row>
    <row r="55" spans="1:9" ht="26.15" customHeight="1">
      <c r="A55" s="138"/>
      <c r="B55" s="139"/>
      <c r="C55" s="139"/>
      <c r="D55" s="137"/>
      <c r="E55" s="139"/>
      <c r="F55" s="139"/>
      <c r="G55" s="139"/>
      <c r="I55" s="140"/>
    </row>
    <row r="56" spans="1:9" ht="26.15" customHeight="1">
      <c r="A56" s="292" t="s">
        <v>214</v>
      </c>
      <c r="B56" s="293"/>
      <c r="C56" s="293"/>
      <c r="D56" s="293"/>
      <c r="E56" s="293"/>
      <c r="F56" s="293"/>
      <c r="G56" s="293"/>
      <c r="H56" s="293"/>
      <c r="I56" s="294"/>
    </row>
    <row r="57" spans="1:9" ht="26.15" customHeight="1">
      <c r="A57" s="152"/>
      <c r="B57" s="153"/>
      <c r="C57" s="153"/>
      <c r="D57" s="153"/>
      <c r="E57" s="153"/>
      <c r="F57" s="153"/>
      <c r="G57" s="153"/>
      <c r="H57" s="153"/>
      <c r="I57" s="154"/>
    </row>
    <row r="72" spans="6:6">
      <c r="F72" s="139"/>
    </row>
  </sheetData>
  <mergeCells count="4">
    <mergeCell ref="A1:I1"/>
    <mergeCell ref="A3:I3"/>
    <mergeCell ref="A48:I48"/>
    <mergeCell ref="A56:I56"/>
  </mergeCells>
  <pageMargins left="0.7" right="0.7" top="0.75" bottom="0.75" header="0.3" footer="0.3"/>
  <pageSetup paperSize="9" scale="49" orientation="portrait" horizont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C6268FB5F6D644A1ACBFCDE46178D3" ma:contentTypeVersion="12" ma:contentTypeDescription="Create a new document." ma:contentTypeScope="" ma:versionID="856285b97c8cdc8128f92cca7f27432e">
  <xsd:schema xmlns:xsd="http://www.w3.org/2001/XMLSchema" xmlns:xs="http://www.w3.org/2001/XMLSchema" xmlns:p="http://schemas.microsoft.com/office/2006/metadata/properties" xmlns:ns2="5347c5ce-7d7f-414e-90e0-94bd77896727" xmlns:ns3="10d9bdc0-720c-4bfa-9486-f5185911b858" targetNamespace="http://schemas.microsoft.com/office/2006/metadata/properties" ma:root="true" ma:fieldsID="b710fc4ac61f7f6c69219b6490d5900b" ns2:_="" ns3:_="">
    <xsd:import namespace="5347c5ce-7d7f-414e-90e0-94bd77896727"/>
    <xsd:import namespace="10d9bdc0-720c-4bfa-9486-f5185911b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47c5ce-7d7f-414e-90e0-94bd778967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d22da64-3c0a-43d6-abd1-de18602aae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9bdc0-720c-4bfa-9486-f5185911b85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1cd8640-a7be-4358-ba51-b5c5e24ba7d8}" ma:internalName="TaxCatchAll" ma:showField="CatchAllData" ma:web="10d9bdc0-720c-4bfa-9486-f5185911b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d9bdc0-720c-4bfa-9486-f5185911b858" xsi:nil="true"/>
    <lcf76f155ced4ddcb4097134ff3c332f xmlns="5347c5ce-7d7f-414e-90e0-94bd778967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784911-26CA-4891-AEAA-D8BC8253B2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47c5ce-7d7f-414e-90e0-94bd77896727"/>
    <ds:schemaRef ds:uri="10d9bdc0-720c-4bfa-9486-f5185911b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768639-6138-4D29-8993-CC602457AE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CA2BCD-C749-46F6-924D-714BBE0C9C16}">
  <ds:schemaRefs>
    <ds:schemaRef ds:uri="http://schemas.microsoft.com/office/2006/metadata/properties"/>
    <ds:schemaRef ds:uri="http://schemas.microsoft.com/office/infopath/2007/PartnerControls"/>
    <ds:schemaRef ds:uri="10d9bdc0-720c-4bfa-9486-f5185911b858"/>
    <ds:schemaRef ds:uri="5347c5ce-7d7f-414e-90e0-94bd778967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Annexure A</vt:lpstr>
      <vt:lpstr>Trafo sizing </vt:lpstr>
      <vt:lpstr>Short time overloading check</vt:lpstr>
      <vt:lpstr>'Annexure A'!Print_Area</vt:lpstr>
      <vt:lpstr>'Short time overloading check'!Print_Area</vt:lpstr>
      <vt:lpstr>'Trafo sizing '!Print_Area</vt:lpstr>
      <vt:lpstr>'Annexure A'!Print_Titles</vt:lpstr>
    </vt:vector>
  </TitlesOfParts>
  <Company>CHEMTEX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MPG018-43-99-01</dc:title>
  <dc:subject>MPG-018</dc:subject>
  <dc:creator>AK</dc:creator>
  <cp:keywords>0</cp:keywords>
  <dc:description>DISTRIBUTION TRANSFORMER SIZING CALCULATION</dc:description>
  <cp:lastModifiedBy>user</cp:lastModifiedBy>
  <cp:lastPrinted>2023-05-06T03:39:17Z</cp:lastPrinted>
  <dcterms:created xsi:type="dcterms:W3CDTF">2000-02-11T04:48:21Z</dcterms:created>
  <dcterms:modified xsi:type="dcterms:W3CDTF">2026-01-08T03:32:58Z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0x0101007AC6268FB5F6D644A1ACBFCDE46178D3</vt:lpwstr>
  </property>
  <property fmtid="{D5CDD505-2E9C-101B-9397-08002B2CF9AE}" pid="3" name="MediaServiceImageTags">
    <vt:lpwstr/>
  </property>
</Properties>
</file>