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aso\OneDrive\Desktop\Divya\Assignment\"/>
    </mc:Choice>
  </mc:AlternateContent>
  <bookViews>
    <workbookView xWindow="0" yWindow="0" windowWidth="28800" windowHeight="1233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3" l="1"/>
  <c r="L19" i="3"/>
  <c r="L16" i="3"/>
  <c r="L18" i="3"/>
  <c r="L17" i="3"/>
  <c r="L15" i="3"/>
  <c r="L14" i="3"/>
  <c r="N11" i="3"/>
  <c r="O11" i="3"/>
  <c r="W41" i="3"/>
  <c r="Z41" i="3" s="1"/>
  <c r="X40" i="3"/>
  <c r="W40" i="3"/>
  <c r="Z40" i="3" s="1"/>
  <c r="U32" i="3"/>
  <c r="U30" i="3"/>
  <c r="U28" i="3"/>
  <c r="U25" i="3"/>
  <c r="L5" i="3"/>
  <c r="L7" i="3"/>
  <c r="M7" i="3" s="1"/>
  <c r="L8" i="3"/>
  <c r="M8" i="3" s="1"/>
  <c r="L9" i="3"/>
  <c r="M9" i="3" s="1"/>
  <c r="P6" i="3"/>
  <c r="Q6" i="3" s="1"/>
  <c r="Q11" i="3" s="1"/>
  <c r="H5" i="3"/>
  <c r="H6" i="3"/>
  <c r="H7" i="3"/>
  <c r="H8" i="3"/>
  <c r="G9" i="3"/>
  <c r="H9" i="3" s="1"/>
  <c r="AB27" i="3"/>
  <c r="AB32" i="3" s="1"/>
  <c r="AB35" i="3" s="1"/>
  <c r="AE28" i="3"/>
  <c r="U38" i="3" l="1"/>
  <c r="L11" i="3"/>
  <c r="P11" i="3"/>
  <c r="M5" i="3"/>
  <c r="M11" i="3" s="1"/>
</calcChain>
</file>

<file path=xl/sharedStrings.xml><?xml version="1.0" encoding="utf-8"?>
<sst xmlns="http://schemas.openxmlformats.org/spreadsheetml/2006/main" count="134" uniqueCount="95">
  <si>
    <t>Tr</t>
  </si>
  <si>
    <t xml:space="preserve">Oil &amp; gas </t>
  </si>
  <si>
    <t xml:space="preserve">Upsteram </t>
  </si>
  <si>
    <t>Wells</t>
  </si>
  <si>
    <t xml:space="preserve">Kuwait </t>
  </si>
  <si>
    <t>KOC</t>
  </si>
  <si>
    <t xml:space="preserve">Swtichgear </t>
  </si>
  <si>
    <t xml:space="preserve">cables </t>
  </si>
  <si>
    <t xml:space="preserve">Busbar </t>
  </si>
  <si>
    <t xml:space="preserve">Future Margin </t>
  </si>
  <si>
    <t>5M USD</t>
  </si>
  <si>
    <t>8USD</t>
  </si>
  <si>
    <t>ask question to client</t>
  </si>
  <si>
    <t>do you have any upgradation plan?</t>
  </si>
  <si>
    <t>if you have plan, how many phases or  within how many years ?</t>
  </si>
  <si>
    <t>Request for Information</t>
  </si>
  <si>
    <t>site server y</t>
  </si>
  <si>
    <t>what is the source of supply ?</t>
  </si>
  <si>
    <t>nearst substation available ?</t>
  </si>
  <si>
    <t>how many source of incomer needed?</t>
  </si>
  <si>
    <t>what is existing votlage level adopted in the plan?</t>
  </si>
  <si>
    <t>what is the existing plant pihlopsohy follwoed ?</t>
  </si>
  <si>
    <t xml:space="preserve">Shaft power </t>
  </si>
  <si>
    <t>kW</t>
  </si>
  <si>
    <t xml:space="preserve">Case 1 </t>
  </si>
  <si>
    <t>cASe 2</t>
  </si>
  <si>
    <t>Case 3</t>
  </si>
  <si>
    <t>Motor for Compressor</t>
  </si>
  <si>
    <t xml:space="preserve">Area Lighting </t>
  </si>
  <si>
    <t>Caae 4</t>
  </si>
  <si>
    <t>Heater for VR tank</t>
  </si>
  <si>
    <t>Motor</t>
  </si>
  <si>
    <t>non motor</t>
  </si>
  <si>
    <t>C/E</t>
  </si>
  <si>
    <t>E</t>
  </si>
  <si>
    <t xml:space="preserve">Rated Power </t>
  </si>
  <si>
    <t>Service</t>
  </si>
  <si>
    <t>Type</t>
  </si>
  <si>
    <t>C</t>
  </si>
  <si>
    <t>design</t>
  </si>
  <si>
    <t>FOR PROCESS AREA</t>
  </si>
  <si>
    <t>LUX</t>
  </si>
  <si>
    <t>A</t>
  </si>
  <si>
    <t>for EL 100</t>
  </si>
  <si>
    <t xml:space="preserve">grid </t>
  </si>
  <si>
    <t>A-H,1-16</t>
  </si>
  <si>
    <t>M</t>
  </si>
  <si>
    <t>F</t>
  </si>
  <si>
    <t>Lumen</t>
  </si>
  <si>
    <t>W</t>
  </si>
  <si>
    <t>UF</t>
  </si>
  <si>
    <t>MF</t>
  </si>
  <si>
    <t>N</t>
  </si>
  <si>
    <t xml:space="preserve">POWER </t>
  </si>
  <si>
    <t>Demand factor</t>
  </si>
  <si>
    <t>Efficiency @ Demand</t>
  </si>
  <si>
    <t>Power Factor @ Demand</t>
  </si>
  <si>
    <t>1W+1S</t>
  </si>
  <si>
    <t>2W+1S</t>
  </si>
  <si>
    <t xml:space="preserve">Continuous </t>
  </si>
  <si>
    <t xml:space="preserve">Intermittent </t>
  </si>
  <si>
    <t xml:space="preserve">Standby </t>
  </si>
  <si>
    <t>Duty</t>
  </si>
  <si>
    <t>Motor for Thruster  A</t>
  </si>
  <si>
    <t>Motor for Thruster B</t>
  </si>
  <si>
    <t>S</t>
  </si>
  <si>
    <t>kVAr</t>
  </si>
  <si>
    <t>Absorbed kW * TAN (COS-1 (Power Factor at Demand))</t>
  </si>
  <si>
    <t>7 to 9</t>
  </si>
  <si>
    <t xml:space="preserve">Sanctioned </t>
  </si>
  <si>
    <t>EB</t>
  </si>
  <si>
    <t xml:space="preserve">SLAB </t>
  </si>
  <si>
    <t xml:space="preserve">FIXED COST </t>
  </si>
  <si>
    <t>=</t>
  </si>
  <si>
    <t>INR</t>
  </si>
  <si>
    <t xml:space="preserve">VARIABLE  COST </t>
  </si>
  <si>
    <t xml:space="preserve">Maximum normal running plant load (Demand load) = x(%)F + y(%)G </t>
  </si>
  <si>
    <t>Continuous (F)</t>
  </si>
  <si>
    <t>Intermittent G)</t>
  </si>
  <si>
    <t>Standby or Spare (H)</t>
  </si>
  <si>
    <t>X</t>
  </si>
  <si>
    <t>Y</t>
  </si>
  <si>
    <t>Z</t>
  </si>
  <si>
    <t>Kw</t>
  </si>
  <si>
    <t>KVAR</t>
  </si>
  <si>
    <t xml:space="preserve">Peak load = x(%)F + y(%)G + z(%)H </t>
  </si>
  <si>
    <t>Kva</t>
  </si>
  <si>
    <t xml:space="preserve">Any motor </t>
  </si>
  <si>
    <t>0-24</t>
  </si>
  <si>
    <t>hrs</t>
  </si>
  <si>
    <t>2PMto 2.30pm</t>
  </si>
  <si>
    <t>Hrs</t>
  </si>
  <si>
    <t>VFD</t>
  </si>
  <si>
    <t>SOFT STARTER</t>
  </si>
  <si>
    <t>SRAR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</si>
</sst>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/>
    <xf numFmtId="0" fontId="2" fillId="0" borderId="0" xfId="1" applyFont="1" applyAlignment="1">
      <alignment horizontal="center"/>
    </xf>
    <xf numFmtId="2" fontId="2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3" fillId="3" borderId="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3" fillId="3" borderId="1" xfId="2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2" fillId="2" borderId="0" xfId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2" fontId="3" fillId="3" borderId="4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3" fillId="3" borderId="1" xfId="2" applyNumberFormat="1" applyFont="1" applyFill="1" applyBorder="1" applyAlignment="1">
      <alignment horizontal="center" vertical="center" wrapText="1"/>
    </xf>
    <xf numFmtId="2" fontId="4" fillId="3" borderId="2" xfId="2" applyNumberFormat="1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3">
    <cellStyle name="Normal" xfId="0" builtinId="0"/>
    <cellStyle name="Normal 3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601980</xdr:colOff>
      <xdr:row>16</xdr:row>
      <xdr:rowOff>76200</xdr:rowOff>
    </xdr:from>
    <xdr:to>
      <xdr:col>32</xdr:col>
      <xdr:colOff>25185</xdr:colOff>
      <xdr:row>24</xdr:row>
      <xdr:rowOff>153229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A4CF5-9A70-165A-519D-51F3E013C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4560" y="1722120"/>
          <a:ext cx="4432524" cy="1540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topLeftCell="A8" zoomScale="205" zoomScaleNormal="205" workbookViewId="0">
      <selection activeCell="E14" sqref="E14:E16"/>
    </sheetView>
  </sheetViews>
  <sheetFormatPr defaultRowHeight="14"/>
  <cols>
    <col min="5" max="5" width="29.4140625" bestFit="1" customWidth="1"/>
  </cols>
  <sheetData>
    <row r="1" spans="2:9">
      <c r="B1" s="3"/>
      <c r="C1" s="3"/>
      <c r="D1" s="3"/>
      <c r="E1" s="1" t="s">
        <v>0</v>
      </c>
      <c r="F1" s="2">
        <v>0.5</v>
      </c>
      <c r="G1" t="s">
        <v>3</v>
      </c>
      <c r="I1" t="s">
        <v>4</v>
      </c>
    </row>
    <row r="2" spans="2:9">
      <c r="B2" s="3"/>
      <c r="C2" s="3"/>
      <c r="D2" s="3"/>
      <c r="I2" t="s">
        <v>5</v>
      </c>
    </row>
    <row r="3" spans="2:9">
      <c r="B3" s="3"/>
      <c r="C3" s="3"/>
      <c r="D3" s="3"/>
      <c r="E3" s="1"/>
      <c r="F3" s="1"/>
    </row>
    <row r="4" spans="2:9">
      <c r="B4" s="3"/>
      <c r="C4" s="3"/>
      <c r="D4" s="3"/>
      <c r="E4" s="1" t="s">
        <v>0</v>
      </c>
      <c r="F4" s="2">
        <v>0.25</v>
      </c>
    </row>
    <row r="5" spans="2:9">
      <c r="B5" s="3"/>
      <c r="C5" s="3"/>
      <c r="D5" s="3"/>
      <c r="E5" s="1"/>
      <c r="F5" s="1"/>
    </row>
    <row r="6" spans="2:9">
      <c r="E6" s="1"/>
      <c r="F6" s="1"/>
    </row>
    <row r="7" spans="2:9">
      <c r="E7" t="s">
        <v>1</v>
      </c>
      <c r="F7" t="s">
        <v>2</v>
      </c>
    </row>
    <row r="9" spans="2:9">
      <c r="E9" t="s">
        <v>6</v>
      </c>
      <c r="F9" t="s">
        <v>10</v>
      </c>
      <c r="G9" t="s">
        <v>11</v>
      </c>
    </row>
    <row r="10" spans="2:9">
      <c r="E10" t="s">
        <v>7</v>
      </c>
    </row>
    <row r="11" spans="2:9">
      <c r="E11" t="s">
        <v>8</v>
      </c>
    </row>
    <row r="12" spans="2:9">
      <c r="E12" t="s">
        <v>9</v>
      </c>
    </row>
    <row r="14" spans="2:9">
      <c r="E14" t="s">
        <v>12</v>
      </c>
    </row>
    <row r="15" spans="2:9">
      <c r="E15" t="s">
        <v>13</v>
      </c>
    </row>
    <row r="16" spans="2:9">
      <c r="E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220" zoomScaleNormal="220" workbookViewId="0">
      <selection activeCell="F10" sqref="F10"/>
    </sheetView>
  </sheetViews>
  <sheetFormatPr defaultRowHeight="14"/>
  <sheetData>
    <row r="1" spans="1:3">
      <c r="B1" t="s">
        <v>15</v>
      </c>
    </row>
    <row r="3" spans="1:3">
      <c r="C3" t="s">
        <v>16</v>
      </c>
    </row>
    <row r="5" spans="1:3">
      <c r="A5">
        <v>1</v>
      </c>
      <c r="B5" t="s">
        <v>17</v>
      </c>
    </row>
    <row r="6" spans="1:3">
      <c r="A6">
        <v>2</v>
      </c>
      <c r="B6" t="s">
        <v>18</v>
      </c>
    </row>
    <row r="7" spans="1:3">
      <c r="A7">
        <v>3</v>
      </c>
      <c r="B7" t="s">
        <v>19</v>
      </c>
    </row>
    <row r="8" spans="1:3">
      <c r="A8">
        <v>4</v>
      </c>
      <c r="B8" t="s">
        <v>20</v>
      </c>
    </row>
    <row r="9" spans="1:3">
      <c r="A9">
        <v>5</v>
      </c>
      <c r="B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41"/>
  <sheetViews>
    <sheetView tabSelected="1" topLeftCell="C1" zoomScale="115" zoomScaleNormal="115" workbookViewId="0">
      <selection activeCell="E12" sqref="E12:K17"/>
    </sheetView>
  </sheetViews>
  <sheetFormatPr defaultRowHeight="14"/>
  <cols>
    <col min="3" max="3" width="19.08203125" customWidth="1"/>
    <col min="4" max="4" width="10.9140625" customWidth="1"/>
    <col min="5" max="5" width="14.08203125" style="1" customWidth="1"/>
    <col min="6" max="6" width="10.6640625" style="1" customWidth="1"/>
    <col min="7" max="11" width="10.75" style="1" customWidth="1"/>
    <col min="12" max="12" width="18.75" style="1" customWidth="1"/>
    <col min="13" max="14" width="10.75" style="1" customWidth="1"/>
    <col min="16" max="16" width="8.9140625" style="12"/>
    <col min="17" max="17" width="13.58203125" style="1" bestFit="1" customWidth="1"/>
    <col min="18" max="18" width="21" customWidth="1"/>
    <col min="19" max="19" width="11.58203125" customWidth="1"/>
    <col min="20" max="20" width="16.58203125" customWidth="1"/>
    <col min="21" max="21" width="8.9140625" style="1"/>
    <col min="28" max="28" width="10.75" customWidth="1"/>
  </cols>
  <sheetData>
    <row r="2" spans="2:21">
      <c r="E2" s="21" t="s">
        <v>39</v>
      </c>
      <c r="F2" s="21"/>
      <c r="G2" s="21"/>
    </row>
    <row r="3" spans="2:21">
      <c r="C3" t="s">
        <v>36</v>
      </c>
      <c r="D3" t="s">
        <v>37</v>
      </c>
      <c r="E3" s="1" t="s">
        <v>22</v>
      </c>
      <c r="F3" s="1" t="s">
        <v>33</v>
      </c>
      <c r="G3" s="1" t="s">
        <v>35</v>
      </c>
      <c r="H3" s="22" t="s">
        <v>54</v>
      </c>
      <c r="I3" s="24" t="s">
        <v>55</v>
      </c>
      <c r="J3" s="24" t="s">
        <v>56</v>
      </c>
      <c r="K3" s="26" t="s">
        <v>62</v>
      </c>
      <c r="L3" s="20" t="s">
        <v>77</v>
      </c>
      <c r="M3" s="20"/>
      <c r="N3" s="20" t="s">
        <v>78</v>
      </c>
      <c r="O3" s="20"/>
      <c r="P3" s="20" t="s">
        <v>79</v>
      </c>
      <c r="Q3" s="20"/>
      <c r="S3" s="1" t="s">
        <v>67</v>
      </c>
    </row>
    <row r="4" spans="2:21">
      <c r="E4" s="1" t="s">
        <v>23</v>
      </c>
      <c r="H4" s="23"/>
      <c r="I4" s="25"/>
      <c r="J4" s="25"/>
      <c r="K4" s="26"/>
      <c r="L4" s="10" t="s">
        <v>23</v>
      </c>
      <c r="M4" s="10" t="s">
        <v>66</v>
      </c>
      <c r="N4" s="10" t="s">
        <v>23</v>
      </c>
      <c r="O4" s="10" t="s">
        <v>66</v>
      </c>
      <c r="P4" s="13" t="s">
        <v>23</v>
      </c>
      <c r="Q4" s="10" t="s">
        <v>66</v>
      </c>
    </row>
    <row r="5" spans="2:21">
      <c r="B5" t="s">
        <v>24</v>
      </c>
      <c r="C5" t="s">
        <v>63</v>
      </c>
      <c r="D5" t="s">
        <v>31</v>
      </c>
      <c r="E5" s="1">
        <v>25</v>
      </c>
      <c r="F5" s="4" t="s">
        <v>34</v>
      </c>
      <c r="G5" s="1">
        <v>30</v>
      </c>
      <c r="H5" s="9">
        <f>E5/G5</f>
        <v>0.83333333333333337</v>
      </c>
      <c r="I5" s="1">
        <v>0.95499999999999996</v>
      </c>
      <c r="J5" s="1">
        <v>0.89</v>
      </c>
      <c r="K5" s="1" t="s">
        <v>38</v>
      </c>
      <c r="L5" s="11">
        <f>E5/I5</f>
        <v>26.178010471204189</v>
      </c>
      <c r="M5" s="9">
        <f>L5*TAN(ACOS(J5))</f>
        <v>13.411392570360603</v>
      </c>
      <c r="P5" s="14"/>
    </row>
    <row r="6" spans="2:21">
      <c r="B6" t="s">
        <v>24</v>
      </c>
      <c r="C6" t="s">
        <v>64</v>
      </c>
      <c r="D6" t="s">
        <v>31</v>
      </c>
      <c r="E6" s="1">
        <v>25</v>
      </c>
      <c r="F6" s="4" t="s">
        <v>34</v>
      </c>
      <c r="G6" s="1">
        <v>30</v>
      </c>
      <c r="H6" s="9">
        <f>E6/G6</f>
        <v>0.83333333333333337</v>
      </c>
      <c r="I6" s="1">
        <v>0.95499999999999996</v>
      </c>
      <c r="J6" s="1">
        <v>0.89</v>
      </c>
      <c r="K6" s="1" t="s">
        <v>65</v>
      </c>
      <c r="L6" s="11"/>
      <c r="M6" s="9"/>
      <c r="P6" s="14">
        <f>E6/I6</f>
        <v>26.178010471204189</v>
      </c>
      <c r="Q6" s="9">
        <f>P6*TAN(ACOS(J6))</f>
        <v>13.411392570360603</v>
      </c>
    </row>
    <row r="7" spans="2:21">
      <c r="B7" t="s">
        <v>25</v>
      </c>
      <c r="C7" t="s">
        <v>27</v>
      </c>
      <c r="D7" t="s">
        <v>31</v>
      </c>
      <c r="E7" s="1">
        <v>115</v>
      </c>
      <c r="F7" s="4" t="s">
        <v>34</v>
      </c>
      <c r="G7" s="1">
        <v>160</v>
      </c>
      <c r="H7" s="9">
        <f t="shared" ref="H7:H9" si="0">E7/G7</f>
        <v>0.71875</v>
      </c>
      <c r="I7" s="1">
        <v>0.95499999999999996</v>
      </c>
      <c r="J7" s="1">
        <v>0.89</v>
      </c>
      <c r="K7" s="1" t="s">
        <v>38</v>
      </c>
      <c r="L7" s="11">
        <f t="shared" ref="L7:L9" si="1">E7/I7</f>
        <v>120.41884816753927</v>
      </c>
      <c r="M7" s="9">
        <f t="shared" ref="M7:M9" si="2">L7*TAN(ACOS(J7))</f>
        <v>61.692405823658767</v>
      </c>
    </row>
    <row r="8" spans="2:21">
      <c r="B8" t="s">
        <v>26</v>
      </c>
      <c r="C8" t="s">
        <v>28</v>
      </c>
      <c r="D8" t="s">
        <v>32</v>
      </c>
      <c r="E8" s="1">
        <v>100</v>
      </c>
      <c r="F8" s="4" t="s">
        <v>38</v>
      </c>
      <c r="G8" s="1">
        <v>100</v>
      </c>
      <c r="H8" s="9">
        <f t="shared" si="0"/>
        <v>1</v>
      </c>
      <c r="I8" s="1">
        <v>1</v>
      </c>
      <c r="J8" s="1">
        <v>0.95</v>
      </c>
      <c r="K8" s="1" t="s">
        <v>38</v>
      </c>
      <c r="L8" s="11">
        <f t="shared" si="1"/>
        <v>100</v>
      </c>
      <c r="M8" s="9">
        <f t="shared" si="2"/>
        <v>32.868410517886318</v>
      </c>
    </row>
    <row r="9" spans="2:21">
      <c r="B9" t="s">
        <v>29</v>
      </c>
      <c r="C9" t="s">
        <v>30</v>
      </c>
      <c r="D9" t="s">
        <v>32</v>
      </c>
      <c r="E9" s="1">
        <v>95</v>
      </c>
      <c r="F9" s="4" t="s">
        <v>34</v>
      </c>
      <c r="G9" s="8">
        <f>E9*1.25</f>
        <v>118.75</v>
      </c>
      <c r="H9" s="9">
        <f t="shared" si="0"/>
        <v>0.8</v>
      </c>
      <c r="I9" s="9">
        <v>0.89</v>
      </c>
      <c r="J9" s="9">
        <v>0.95</v>
      </c>
      <c r="K9" s="8" t="s">
        <v>38</v>
      </c>
      <c r="L9" s="11">
        <f t="shared" si="1"/>
        <v>106.74157303370787</v>
      </c>
      <c r="M9" s="9">
        <f t="shared" si="2"/>
        <v>35.084258417968542</v>
      </c>
      <c r="N9" s="8"/>
    </row>
    <row r="10" spans="2:21">
      <c r="F10" s="4"/>
      <c r="G10" s="8"/>
      <c r="H10" s="9"/>
      <c r="I10" s="9"/>
      <c r="J10" s="9"/>
      <c r="K10" s="8"/>
      <c r="L10" s="11"/>
      <c r="M10" s="9"/>
      <c r="N10" s="8"/>
    </row>
    <row r="11" spans="2:21">
      <c r="F11" s="5"/>
      <c r="L11" s="11">
        <f>SUM(L5:L9)</f>
        <v>353.33843167245135</v>
      </c>
      <c r="M11" s="11">
        <f t="shared" ref="M11:Q11" si="3">SUM(M5:M9)</f>
        <v>143.05646732987424</v>
      </c>
      <c r="N11" s="11">
        <f t="shared" si="3"/>
        <v>0</v>
      </c>
      <c r="O11" s="11">
        <f t="shared" si="3"/>
        <v>0</v>
      </c>
      <c r="P11" s="15">
        <f t="shared" si="3"/>
        <v>26.178010471204189</v>
      </c>
      <c r="Q11" s="11">
        <f t="shared" si="3"/>
        <v>13.411392570360603</v>
      </c>
    </row>
    <row r="12" spans="2:21">
      <c r="F12" s="5"/>
      <c r="I12" s="1" t="s">
        <v>80</v>
      </c>
      <c r="J12" s="1" t="s">
        <v>81</v>
      </c>
      <c r="K12" s="1" t="s">
        <v>82</v>
      </c>
      <c r="L12" s="11"/>
      <c r="M12" s="11"/>
      <c r="N12" s="11"/>
      <c r="O12" s="11"/>
      <c r="P12" s="15"/>
      <c r="Q12" s="11"/>
      <c r="S12" t="s">
        <v>87</v>
      </c>
    </row>
    <row r="13" spans="2:21">
      <c r="F13" s="5"/>
      <c r="I13" s="1">
        <v>1</v>
      </c>
      <c r="J13" s="1">
        <v>0.5</v>
      </c>
      <c r="K13" s="1">
        <v>0.1</v>
      </c>
      <c r="L13" s="11"/>
      <c r="M13" s="11"/>
      <c r="N13" s="11"/>
      <c r="O13" s="11"/>
      <c r="P13" s="15"/>
      <c r="Q13" s="11"/>
    </row>
    <row r="14" spans="2:21">
      <c r="F14" s="5"/>
      <c r="G14" s="1" t="s">
        <v>76</v>
      </c>
      <c r="L14" s="11">
        <f>I13*L11+J13*N11</f>
        <v>353.33843167245135</v>
      </c>
      <c r="M14" s="11" t="s">
        <v>83</v>
      </c>
      <c r="N14" s="11"/>
      <c r="O14" s="11"/>
      <c r="P14" s="15"/>
      <c r="Q14" s="11"/>
    </row>
    <row r="15" spans="2:21">
      <c r="F15" s="5"/>
      <c r="L15" s="11">
        <f>I13*M11+J13*O11</f>
        <v>143.05646732987424</v>
      </c>
      <c r="M15" s="11" t="s">
        <v>84</v>
      </c>
      <c r="N15" s="11"/>
      <c r="O15" s="11"/>
      <c r="P15" s="15"/>
      <c r="Q15" s="11"/>
    </row>
    <row r="16" spans="2:21">
      <c r="F16" s="5"/>
      <c r="L16" s="19">
        <f>SQRT(L14^2+L15^2)</f>
        <v>381.19968539028326</v>
      </c>
      <c r="M16" s="19" t="s">
        <v>86</v>
      </c>
      <c r="N16" s="11"/>
      <c r="O16" s="11"/>
      <c r="P16" s="15"/>
      <c r="Q16" s="11"/>
      <c r="T16" t="s">
        <v>88</v>
      </c>
      <c r="U16" s="1" t="s">
        <v>89</v>
      </c>
    </row>
    <row r="17" spans="5:33">
      <c r="E17" s="16" t="s">
        <v>85</v>
      </c>
      <c r="F17" s="4"/>
      <c r="L17" s="11">
        <f>I13*L11+J13*N11+K13*P11</f>
        <v>355.95623271957174</v>
      </c>
      <c r="M17" s="11" t="s">
        <v>83</v>
      </c>
    </row>
    <row r="18" spans="5:33">
      <c r="F18" s="4"/>
      <c r="L18" s="11">
        <f>I13*M11+J13*O11+K13*Q11</f>
        <v>144.39760658691029</v>
      </c>
      <c r="M18" s="11" t="s">
        <v>84</v>
      </c>
      <c r="T18" t="s">
        <v>90</v>
      </c>
      <c r="U18" s="1">
        <v>0.5</v>
      </c>
      <c r="V18" t="s">
        <v>91</v>
      </c>
    </row>
    <row r="19" spans="5:33">
      <c r="E19" s="6"/>
      <c r="F19" s="18"/>
      <c r="G19" s="6"/>
      <c r="H19" s="6"/>
      <c r="I19" s="6"/>
      <c r="J19" s="6"/>
      <c r="K19" s="6"/>
      <c r="L19" s="19">
        <f>SQRT(L17^2+L18^2)</f>
        <v>384.12954637717991</v>
      </c>
      <c r="M19" s="19" t="s">
        <v>86</v>
      </c>
      <c r="O19">
        <f>L19/1.732/0.4</f>
        <v>554.45950689546748</v>
      </c>
      <c r="P19" s="12" t="s">
        <v>42</v>
      </c>
    </row>
    <row r="20" spans="5:33">
      <c r="I20" s="17"/>
      <c r="J20" s="17"/>
      <c r="K20" s="17"/>
      <c r="L20" s="17"/>
      <c r="T20" t="s">
        <v>92</v>
      </c>
    </row>
    <row r="21" spans="5:33">
      <c r="I21" s="17"/>
      <c r="J21" s="17"/>
      <c r="K21" s="17"/>
      <c r="L21" s="17"/>
      <c r="O21">
        <v>630</v>
      </c>
      <c r="P21" s="12" t="s">
        <v>42</v>
      </c>
      <c r="T21" t="s">
        <v>93</v>
      </c>
    </row>
    <row r="22" spans="5:33">
      <c r="F22" s="1" t="s">
        <v>58</v>
      </c>
      <c r="I22" s="17"/>
      <c r="J22" s="17"/>
      <c r="K22" s="17"/>
      <c r="L22" s="17"/>
      <c r="T22" t="s">
        <v>94</v>
      </c>
    </row>
    <row r="23" spans="5:33">
      <c r="F23" s="1" t="s">
        <v>57</v>
      </c>
      <c r="I23" s="17"/>
      <c r="J23" s="17"/>
      <c r="K23" s="17"/>
      <c r="L23" s="17"/>
    </row>
    <row r="24" spans="5:33">
      <c r="E24" s="1" t="s">
        <v>59</v>
      </c>
    </row>
    <row r="25" spans="5:33">
      <c r="E25" s="1" t="s">
        <v>60</v>
      </c>
      <c r="Q25" s="1">
        <v>9</v>
      </c>
      <c r="R25">
        <v>80</v>
      </c>
      <c r="S25" t="s">
        <v>49</v>
      </c>
      <c r="U25" s="1">
        <f>Q25*R25</f>
        <v>720</v>
      </c>
      <c r="V25" t="s">
        <v>49</v>
      </c>
    </row>
    <row r="26" spans="5:33">
      <c r="E26" s="1" t="s">
        <v>61</v>
      </c>
      <c r="Z26" t="s">
        <v>34</v>
      </c>
      <c r="AB26">
        <v>150</v>
      </c>
      <c r="AC26" t="s">
        <v>41</v>
      </c>
      <c r="AD26" t="s">
        <v>40</v>
      </c>
    </row>
    <row r="27" spans="5:33">
      <c r="Z27" t="s">
        <v>42</v>
      </c>
      <c r="AB27">
        <f>160*160</f>
        <v>25600</v>
      </c>
      <c r="AD27" t="s">
        <v>43</v>
      </c>
      <c r="AE27" t="s">
        <v>46</v>
      </c>
      <c r="AF27" t="s">
        <v>44</v>
      </c>
      <c r="AG27" t="s">
        <v>45</v>
      </c>
    </row>
    <row r="28" spans="5:33">
      <c r="Q28" s="1">
        <v>3</v>
      </c>
      <c r="R28">
        <v>80</v>
      </c>
      <c r="S28" t="s">
        <v>49</v>
      </c>
      <c r="U28" s="1">
        <f>Q28*R28</f>
        <v>240</v>
      </c>
      <c r="V28" t="s">
        <v>49</v>
      </c>
      <c r="Z28" t="s">
        <v>47</v>
      </c>
      <c r="AB28">
        <v>4500</v>
      </c>
      <c r="AC28" t="s">
        <v>48</v>
      </c>
      <c r="AE28">
        <f>100</f>
        <v>100</v>
      </c>
      <c r="AF28" t="s">
        <v>49</v>
      </c>
    </row>
    <row r="29" spans="5:33">
      <c r="Z29" t="s">
        <v>50</v>
      </c>
      <c r="AB29">
        <v>1</v>
      </c>
    </row>
    <row r="30" spans="5:33">
      <c r="Q30" s="1">
        <v>5</v>
      </c>
      <c r="R30">
        <v>80</v>
      </c>
      <c r="S30" t="s">
        <v>49</v>
      </c>
      <c r="U30" s="1">
        <f>Q30*R30</f>
        <v>400</v>
      </c>
      <c r="V30" t="s">
        <v>49</v>
      </c>
      <c r="Z30" t="s">
        <v>51</v>
      </c>
      <c r="AB30">
        <v>0.7</v>
      </c>
    </row>
    <row r="32" spans="5:33">
      <c r="Q32" s="1">
        <v>7</v>
      </c>
      <c r="R32">
        <v>80</v>
      </c>
      <c r="S32" t="s">
        <v>49</v>
      </c>
      <c r="U32" s="1">
        <f>Q32*R32</f>
        <v>560</v>
      </c>
      <c r="V32" t="s">
        <v>49</v>
      </c>
      <c r="W32" t="s">
        <v>68</v>
      </c>
      <c r="Z32" t="s">
        <v>52</v>
      </c>
      <c r="AB32" s="7">
        <f>AB26*AB27/(AB28*AB29*AB30)</f>
        <v>1219.047619047619</v>
      </c>
    </row>
    <row r="33" spans="5:29">
      <c r="Z33" t="s">
        <v>49</v>
      </c>
      <c r="AB33">
        <v>100</v>
      </c>
    </row>
    <row r="35" spans="5:29">
      <c r="Z35" t="s">
        <v>53</v>
      </c>
      <c r="AB35" s="7">
        <f>AB32*AB33/1000</f>
        <v>121.90476190476191</v>
      </c>
      <c r="AC35" t="s">
        <v>23</v>
      </c>
    </row>
    <row r="36" spans="5:29">
      <c r="R36" t="s">
        <v>69</v>
      </c>
      <c r="U36" s="1">
        <v>720</v>
      </c>
      <c r="W36" t="s">
        <v>49</v>
      </c>
    </row>
    <row r="38" spans="5:29">
      <c r="E38" s="1">
        <v>1</v>
      </c>
      <c r="U38" s="9">
        <f>U32/U25</f>
        <v>0.77777777777777779</v>
      </c>
    </row>
    <row r="40" spans="5:29">
      <c r="F40" s="1" t="s">
        <v>42</v>
      </c>
      <c r="R40" t="s">
        <v>70</v>
      </c>
      <c r="T40" t="s">
        <v>71</v>
      </c>
      <c r="U40" s="1" t="s">
        <v>72</v>
      </c>
      <c r="W40">
        <f>720</f>
        <v>720</v>
      </c>
      <c r="X40">
        <f>2</f>
        <v>2</v>
      </c>
      <c r="Y40" t="s">
        <v>73</v>
      </c>
      <c r="Z40">
        <f>W40*X40</f>
        <v>1440</v>
      </c>
      <c r="AA40" t="s">
        <v>74</v>
      </c>
    </row>
    <row r="41" spans="5:29">
      <c r="R41" t="s">
        <v>70</v>
      </c>
      <c r="T41" t="s">
        <v>71</v>
      </c>
      <c r="U41" s="1" t="s">
        <v>75</v>
      </c>
      <c r="W41">
        <f>720</f>
        <v>720</v>
      </c>
      <c r="X41">
        <v>6</v>
      </c>
      <c r="Y41" t="s">
        <v>73</v>
      </c>
      <c r="Z41">
        <f>W41*X41</f>
        <v>4320</v>
      </c>
      <c r="AA41" t="s">
        <v>74</v>
      </c>
    </row>
  </sheetData>
  <mergeCells count="8">
    <mergeCell ref="P3:Q3"/>
    <mergeCell ref="L3:M3"/>
    <mergeCell ref="N3:O3"/>
    <mergeCell ref="E2:G2"/>
    <mergeCell ref="H3:H4"/>
    <mergeCell ref="I3:I4"/>
    <mergeCell ref="J3:J4"/>
    <mergeCell ref="K3:K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d9bdc0-720c-4bfa-9486-f5185911b858" xsi:nil="true"/>
    <lcf76f155ced4ddcb4097134ff3c332f xmlns="5347c5ce-7d7f-414e-90e0-94bd778967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6268FB5F6D644A1ACBFCDE46178D3" ma:contentTypeVersion="12" ma:contentTypeDescription="Create a new document." ma:contentTypeScope="" ma:versionID="856285b97c8cdc8128f92cca7f27432e">
  <xsd:schema xmlns:xsd="http://www.w3.org/2001/XMLSchema" xmlns:xs="http://www.w3.org/2001/XMLSchema" xmlns:p="http://schemas.microsoft.com/office/2006/metadata/properties" xmlns:ns2="5347c5ce-7d7f-414e-90e0-94bd77896727" xmlns:ns3="10d9bdc0-720c-4bfa-9486-f5185911b858" targetNamespace="http://schemas.microsoft.com/office/2006/metadata/properties" ma:root="true" ma:fieldsID="b710fc4ac61f7f6c69219b6490d5900b" ns2:_="" ns3:_="">
    <xsd:import namespace="5347c5ce-7d7f-414e-90e0-94bd77896727"/>
    <xsd:import namespace="10d9bdc0-720c-4bfa-9486-f5185911b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7c5ce-7d7f-414e-90e0-94bd77896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d22da64-3c0a-43d6-abd1-de18602aae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9bdc0-720c-4bfa-9486-f5185911b8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cd8640-a7be-4358-ba51-b5c5e24ba7d8}" ma:internalName="TaxCatchAll" ma:showField="CatchAllData" ma:web="10d9bdc0-720c-4bfa-9486-f5185911b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95D92-69B3-4745-B9A9-EF3008BDAD90}">
  <ds:schemaRefs>
    <ds:schemaRef ds:uri="http://schemas.microsoft.com/office/2006/metadata/properties"/>
    <ds:schemaRef ds:uri="http://schemas.microsoft.com/office/infopath/2007/PartnerControls"/>
    <ds:schemaRef ds:uri="10d9bdc0-720c-4bfa-9486-f5185911b858"/>
    <ds:schemaRef ds:uri="5347c5ce-7d7f-414e-90e0-94bd77896727"/>
  </ds:schemaRefs>
</ds:datastoreItem>
</file>

<file path=customXml/itemProps2.xml><?xml version="1.0" encoding="utf-8"?>
<ds:datastoreItem xmlns:ds="http://schemas.openxmlformats.org/officeDocument/2006/customXml" ds:itemID="{C15BFD06-6B9C-4883-9650-F240A1FAAF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1EACF4-59EB-469F-8504-09F9E080C6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47c5ce-7d7f-414e-90e0-94bd77896727"/>
    <ds:schemaRef ds:uri="10d9bdc0-720c-4bfa-9486-f5185911b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Jeyakumar velusamy</dc:creator>
  <cp:lastModifiedBy>Abarason durai</cp:lastModifiedBy>
  <dcterms:created xsi:type="dcterms:W3CDTF">2025-09-14T14:00:25Z</dcterms:created>
  <dcterms:modified xsi:type="dcterms:W3CDTF">2025-09-26T18:10:21Z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0x0101007AC6268FB5F6D644A1ACBFCDE46178D3</vt:lpwstr>
  </property>
  <property fmtid="{D5CDD505-2E9C-101B-9397-08002B2CF9AE}" pid="3" name="MediaServiceImageTags">
    <vt:lpwstr/>
  </property>
</Properties>
</file>