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2.xml" ContentType="application/vnd.openxmlformats-officedocument.drawing+xml"/>
  <Override PartName="/xl/ink/ink13.xml" ContentType="application/inkml+xml"/>
  <Override PartName="/xl/ink/ink14.xml" ContentType="application/inkml+xml"/>
  <Override PartName="/xl/drawings/drawing3.xml" ContentType="application/vnd.openxmlformats-officedocument.drawing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mpereproengineers.sharepoint.com/sites/ProjectManagement/Shared Documents/Training/Day 6 Fault Current Calculations/"/>
    </mc:Choice>
  </mc:AlternateContent>
  <xr:revisionPtr revIDLastSave="218" documentId="13_ncr:1_{8E0D992D-2C5B-4E10-8020-9B674BFFEA50}" xr6:coauthVersionLast="47" xr6:coauthVersionMax="47" xr10:uidLastSave="{23616CA8-B1CE-4C18-81C3-3A7D13DC4F53}"/>
  <bookViews>
    <workbookView xWindow="-108" yWindow="-108" windowWidth="23256" windowHeight="12456" tabRatio="569" activeTab="1" xr2:uid="{00000000-000D-0000-FFFF-FFFF00000000}"/>
  </bookViews>
  <sheets>
    <sheet name="Rough calculation for pr" sheetId="4" r:id="rId1"/>
    <sheet name="Sheet3" sheetId="9" r:id="rId2"/>
    <sheet name="Sheet2" sheetId="8" r:id="rId3"/>
    <sheet name="Sheet1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H5" i="9"/>
  <c r="F72" i="4"/>
  <c r="D70" i="4"/>
  <c r="D72" i="4" s="1"/>
  <c r="D67" i="4"/>
  <c r="D62" i="4"/>
  <c r="D61" i="4"/>
  <c r="D58" i="4"/>
  <c r="D57" i="4"/>
  <c r="F46" i="4"/>
  <c r="F34" i="4"/>
  <c r="D29" i="4"/>
  <c r="D27" i="4"/>
  <c r="D24" i="4"/>
  <c r="F16" i="4"/>
  <c r="F12" i="4"/>
  <c r="F8" i="4"/>
  <c r="F4" i="4"/>
  <c r="D43" i="4" l="1"/>
  <c r="D44" i="4" l="1"/>
  <c r="H41" i="4"/>
  <c r="H42" i="4" s="1"/>
  <c r="D48" i="4" l="1"/>
  <c r="D49" i="4"/>
  <c r="L37" i="4"/>
  <c r="L39" i="4" s="1"/>
  <c r="D51" i="4" l="1"/>
  <c r="D18" i="4" l="1"/>
  <c r="D13" i="4"/>
  <c r="D17" i="4" s="1"/>
  <c r="D26" i="4" l="1"/>
  <c r="D25" i="4"/>
  <c r="D30" i="4" l="1"/>
  <c r="D31" i="4"/>
  <c r="D53" i="4"/>
  <c r="L53" i="4"/>
  <c r="D52" i="4"/>
  <c r="D76" i="4" l="1"/>
  <c r="H44" i="4"/>
  <c r="D77" i="4"/>
  <c r="D75" i="4" l="1"/>
  <c r="D80" i="4" s="1"/>
  <c r="D81" i="4" s="1"/>
  <c r="D131" i="4" l="1"/>
  <c r="D132" i="4" s="1"/>
  <c r="D144" i="4" s="1"/>
  <c r="D86" i="4"/>
  <c r="D88" i="4" s="1"/>
  <c r="D82" i="4"/>
  <c r="D73" i="4"/>
  <c r="D103" i="4"/>
  <c r="D104" i="4" s="1"/>
  <c r="D133" i="4" l="1"/>
  <c r="D145" i="4" s="1"/>
  <c r="D143" i="4"/>
  <c r="D105" i="4"/>
  <c r="D111" i="4"/>
  <c r="D114" i="4" s="1"/>
  <c r="D112" i="4"/>
  <c r="D115" i="4" s="1"/>
  <c r="D89" i="4"/>
  <c r="D90" i="4"/>
  <c r="D83" i="4"/>
  <c r="D84" i="4"/>
  <c r="D138" i="4" l="1"/>
  <c r="D139" i="4" s="1"/>
  <c r="D141" i="4" s="1"/>
  <c r="D134" i="4"/>
  <c r="D135" i="4" s="1"/>
  <c r="D136" i="4" s="1"/>
  <c r="D147" i="4"/>
  <c r="D148" i="4" s="1"/>
  <c r="D150" i="4" s="1"/>
  <c r="D155" i="4"/>
  <c r="D156" i="4" s="1"/>
  <c r="D158" i="4" s="1"/>
  <c r="D151" i="4"/>
  <c r="D152" i="4" s="1"/>
  <c r="D153" i="4" s="1"/>
  <c r="D92" i="4"/>
  <c r="D93" i="4" s="1"/>
  <c r="D108" i="4"/>
  <c r="D107" i="4"/>
  <c r="D109" i="4"/>
  <c r="D106" i="4"/>
  <c r="D96" i="4"/>
  <c r="D97" i="4" s="1"/>
  <c r="D98" i="4" s="1"/>
  <c r="D121" i="4"/>
  <c r="D122" i="4" s="1"/>
  <c r="D117" i="4"/>
  <c r="D118" i="4" s="1"/>
  <c r="D125" i="4"/>
  <c r="D126" i="4" s="1"/>
  <c r="D137" i="4" l="1"/>
  <c r="D140" i="4"/>
  <c r="D149" i="4"/>
  <c r="D157" i="4"/>
  <c r="D154" i="4"/>
  <c r="D124" i="4"/>
  <c r="D123" i="4"/>
  <c r="D128" i="4"/>
  <c r="D127" i="4"/>
  <c r="D99" i="4"/>
  <c r="D95" i="4"/>
  <c r="D94" i="4"/>
  <c r="D120" i="4"/>
  <c r="D119" i="4"/>
</calcChain>
</file>

<file path=xl/sharedStrings.xml><?xml version="1.0" encoding="utf-8"?>
<sst xmlns="http://schemas.openxmlformats.org/spreadsheetml/2006/main" count="318" uniqueCount="136">
  <si>
    <t>Per Unit method</t>
  </si>
  <si>
    <t>Short circuit Power (MVASc)</t>
  </si>
  <si>
    <t>1.732*Voc*Isc</t>
  </si>
  <si>
    <t>Voltage</t>
  </si>
  <si>
    <t>Short circuit Current</t>
  </si>
  <si>
    <t>Grid</t>
  </si>
  <si>
    <t>Particulars</t>
  </si>
  <si>
    <t>Unit</t>
  </si>
  <si>
    <t>kV</t>
  </si>
  <si>
    <t>kA</t>
  </si>
  <si>
    <t>Formulas/Values</t>
  </si>
  <si>
    <t>MVA</t>
  </si>
  <si>
    <t>Results</t>
  </si>
  <si>
    <t>(kVb^2)/(MVAb)</t>
  </si>
  <si>
    <t>Base MVA</t>
  </si>
  <si>
    <t>Voltage base</t>
  </si>
  <si>
    <t>Source impedance (Zs) Base</t>
  </si>
  <si>
    <t>(kVact^2)/(MVAact)</t>
  </si>
  <si>
    <t>ohms</t>
  </si>
  <si>
    <t>Actual MVA</t>
  </si>
  <si>
    <t>Voltage actual</t>
  </si>
  <si>
    <t>Source impedance (Zs)Actual</t>
  </si>
  <si>
    <t>Source impedance (Zs)p.u</t>
  </si>
  <si>
    <t>(Actual /Base)</t>
  </si>
  <si>
    <t>Validate ETAP X &amp; R Value</t>
  </si>
  <si>
    <t>X</t>
  </si>
  <si>
    <t>R</t>
  </si>
  <si>
    <t>%</t>
  </si>
  <si>
    <t>X (impedance)</t>
  </si>
  <si>
    <t>R (resistance)</t>
  </si>
  <si>
    <t>Transformer</t>
  </si>
  <si>
    <t>New Tfr Impedance (Zpu new)</t>
  </si>
  <si>
    <t>Zpu old</t>
  </si>
  <si>
    <t>MVA old</t>
  </si>
  <si>
    <t>kVb old</t>
  </si>
  <si>
    <t>kVb new</t>
  </si>
  <si>
    <t>p.u</t>
  </si>
  <si>
    <t xml:space="preserve">TFR X/R </t>
  </si>
  <si>
    <t xml:space="preserve">Grid X/R </t>
  </si>
  <si>
    <t xml:space="preserve">X </t>
  </si>
  <si>
    <t>3Ph.fault</t>
  </si>
  <si>
    <t xml:space="preserve">Ea </t>
  </si>
  <si>
    <t>Zsource</t>
  </si>
  <si>
    <t xml:space="preserve">Ztfr </t>
  </si>
  <si>
    <t>Ztotal</t>
  </si>
  <si>
    <t>(Ea/(Ztotal))</t>
  </si>
  <si>
    <t>(Zsource+Ztfr)</t>
  </si>
  <si>
    <t>Base Fault current (If)</t>
  </si>
  <si>
    <t>Tfr LV voltage</t>
  </si>
  <si>
    <t>A</t>
  </si>
  <si>
    <t>(MVAb)/(1.732*Voc)</t>
  </si>
  <si>
    <t>C.Factor</t>
  </si>
  <si>
    <t>Actual Fault current (If)</t>
  </si>
  <si>
    <t>Fault current base (If)</t>
  </si>
  <si>
    <t>SLG Fault</t>
  </si>
  <si>
    <t>Z=SQRT(R^2+x^2)</t>
  </si>
  <si>
    <t>degree</t>
  </si>
  <si>
    <t>(3.Ea)/(Z0+Z1+Z2)</t>
  </si>
  <si>
    <t>Z0</t>
  </si>
  <si>
    <t>Z1</t>
  </si>
  <si>
    <t>Z2</t>
  </si>
  <si>
    <t>(Z0+Z1+Z2)</t>
  </si>
  <si>
    <t>Symmetrical Current</t>
  </si>
  <si>
    <r>
      <t>((Zpu</t>
    </r>
    <r>
      <rPr>
        <sz val="9"/>
        <color theme="1"/>
        <rFont val="Times New Roman"/>
        <family val="1"/>
      </rPr>
      <t xml:space="preserve"> old</t>
    </r>
    <r>
      <rPr>
        <sz val="11"/>
        <color theme="1"/>
        <rFont val="Times New Roman"/>
        <family val="1"/>
      </rPr>
      <t>)* (MVA new/MVA old)*(kVb old / kVb new)^2)</t>
    </r>
  </si>
  <si>
    <r>
      <t>3.Ph fault current@Bus2 (I</t>
    </r>
    <r>
      <rPr>
        <sz val="8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)</t>
    </r>
  </si>
  <si>
    <t>Symmetrical Voltage</t>
  </si>
  <si>
    <t>V0=-I0*Z0</t>
  </si>
  <si>
    <t>V1=E-I1*Z1</t>
  </si>
  <si>
    <t>V2=-I2*Z2</t>
  </si>
  <si>
    <t>Phasor Voltage</t>
  </si>
  <si>
    <t>Vy</t>
  </si>
  <si>
    <t>Vy = V0+a^2*V1+a*V2</t>
  </si>
  <si>
    <t>Vb = V0+a*V1+a^2*V2</t>
  </si>
  <si>
    <t>LL Fault</t>
  </si>
  <si>
    <t>(Z1+Z2)</t>
  </si>
  <si>
    <t>LL Fault (Ib = If)</t>
  </si>
  <si>
    <t>Actual Fault current (Ib)</t>
  </si>
  <si>
    <t>Actual Fault current (Iy)</t>
  </si>
  <si>
    <t>I0=0</t>
  </si>
  <si>
    <t>I1=(Ir+a*Iy+a^2*Ib)</t>
  </si>
  <si>
    <t>I2=(Ir+a^2*Iy+a*Ib)</t>
  </si>
  <si>
    <t>Vr = V0+V1+V2</t>
  </si>
  <si>
    <t>Vr</t>
  </si>
  <si>
    <t>LLG Fault</t>
  </si>
  <si>
    <t>I1=Ea/(Z1+Z2||Z0)</t>
  </si>
  <si>
    <t>Source Impedance (Z1)</t>
  </si>
  <si>
    <t>Transformer Impedance (Z1)</t>
  </si>
  <si>
    <t>Total Sequence Impedances</t>
  </si>
  <si>
    <t>I2=-I1*Z0/(Z0+Z2)</t>
  </si>
  <si>
    <t>I0=-I1*Z2/(Z0+Z2)</t>
  </si>
  <si>
    <t>Ir=0</t>
  </si>
  <si>
    <t>Fault current at Phase b (Ib)</t>
  </si>
  <si>
    <t>Fault current (Ib)</t>
  </si>
  <si>
    <t>Fault current at Phase y (Iy)</t>
  </si>
  <si>
    <t>Vb</t>
  </si>
  <si>
    <t>Dy</t>
  </si>
  <si>
    <t>Dyn</t>
  </si>
  <si>
    <t>Dyn with resistor</t>
  </si>
  <si>
    <t>Z0+3Zn</t>
  </si>
  <si>
    <t>Yy</t>
  </si>
  <si>
    <t>Yyn</t>
  </si>
  <si>
    <t>Yyn with resistor</t>
  </si>
  <si>
    <t>Yny</t>
  </si>
  <si>
    <t>Ynyn</t>
  </si>
  <si>
    <t>Ynyn with resistor</t>
  </si>
  <si>
    <t>ohm</t>
  </si>
  <si>
    <t>Zb</t>
  </si>
  <si>
    <t>Zn</t>
  </si>
  <si>
    <t>Z0trans</t>
  </si>
  <si>
    <t>Z0+3Zn trans</t>
  </si>
  <si>
    <t>Z0 (grid+trans)</t>
  </si>
  <si>
    <t>Z0+3Zn + Z0grid</t>
  </si>
  <si>
    <t>(-jsqrt(3).Ea)/(Z1+Z2)</t>
  </si>
  <si>
    <t>Kt</t>
  </si>
  <si>
    <t>Xt</t>
  </si>
  <si>
    <t>0.95*1.1/(1+(0.6*Xt)</t>
  </si>
  <si>
    <t>10R</t>
  </si>
  <si>
    <t>SQRT(R^2+(10R)^2)=SQRT(101R^2)</t>
  </si>
  <si>
    <t>Impedance correction factor</t>
  </si>
  <si>
    <t>1.1*Cmax/1+(0.6*xt)</t>
  </si>
  <si>
    <t>Zt</t>
  </si>
  <si>
    <t>Kt* Zt=Kt*(Rt+iXt)</t>
  </si>
  <si>
    <t>Ia0=Ia1=Ia2= Ia/3</t>
  </si>
  <si>
    <t>Ia0=Ia1=Ia2</t>
  </si>
  <si>
    <t>SLG Fault (Ia = If)</t>
  </si>
  <si>
    <t>ETAPS SHOWS ONLYA ACTUAL VALULE</t>
  </si>
  <si>
    <t xml:space="preserve">Tr. Line or cable </t>
  </si>
  <si>
    <t>CB</t>
  </si>
  <si>
    <t>BUSBAR</t>
  </si>
  <si>
    <t>CABLE</t>
  </si>
  <si>
    <t>Cable</t>
  </si>
  <si>
    <t>33kV</t>
  </si>
  <si>
    <t xml:space="preserve">33kV busbar </t>
  </si>
  <si>
    <t>(Fault current base(If) * 1.1 * fault current(p.u))</t>
  </si>
  <si>
    <t>Isc</t>
  </si>
  <si>
    <t>Ipeak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</si>
</sst>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1" fillId="4" borderId="18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8" borderId="8" xfId="0" applyFont="1" applyFill="1" applyBorder="1"/>
    <xf numFmtId="0" fontId="1" fillId="8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center" vertical="center"/>
    </xf>
    <xf numFmtId="0" fontId="1" fillId="0" borderId="11" xfId="0" applyFont="1" applyBorder="1"/>
    <xf numFmtId="0" fontId="1" fillId="4" borderId="19" xfId="0" applyFont="1" applyFill="1" applyBorder="1"/>
    <xf numFmtId="0" fontId="1" fillId="4" borderId="20" xfId="0" applyFont="1" applyFill="1" applyBorder="1"/>
    <xf numFmtId="0" fontId="1" fillId="4" borderId="21" xfId="0" applyFont="1" applyFill="1" applyBorder="1"/>
    <xf numFmtId="0" fontId="1" fillId="8" borderId="8" xfId="0" applyFont="1" applyFill="1" applyBorder="1" applyAlignment="1">
      <alignment wrapText="1"/>
    </xf>
    <xf numFmtId="0" fontId="1" fillId="6" borderId="8" xfId="0" applyFont="1" applyFill="1" applyBorder="1" applyAlignment="1">
      <alignment horizontal="center" vertical="center"/>
    </xf>
    <xf numFmtId="0" fontId="1" fillId="0" borderId="7" xfId="0" applyFont="1" applyBorder="1"/>
    <xf numFmtId="0" fontId="1" fillId="5" borderId="8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0" borderId="1" xfId="0" applyFont="1" applyBorder="1"/>
    <xf numFmtId="0" fontId="1" fillId="9" borderId="0" xfId="0" applyFont="1" applyFill="1"/>
    <xf numFmtId="0" fontId="4" fillId="9" borderId="0" xfId="0" applyFont="1" applyFill="1"/>
    <xf numFmtId="0" fontId="1" fillId="2" borderId="17" xfId="0" applyFont="1" applyFill="1" applyBorder="1"/>
    <xf numFmtId="0" fontId="1" fillId="0" borderId="16" xfId="0" applyFont="1" applyBorder="1"/>
    <xf numFmtId="0" fontId="1" fillId="2" borderId="8" xfId="0" applyFont="1" applyFill="1" applyBorder="1"/>
    <xf numFmtId="0" fontId="1" fillId="2" borderId="17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7" borderId="25" xfId="0" applyFont="1" applyFill="1" applyBorder="1"/>
    <xf numFmtId="0" fontId="1" fillId="7" borderId="26" xfId="0" applyFont="1" applyFill="1" applyBorder="1" applyAlignment="1">
      <alignment horizontal="center" vertical="center"/>
    </xf>
    <xf numFmtId="0" fontId="1" fillId="0" borderId="27" xfId="0" applyFont="1" applyBorder="1"/>
    <xf numFmtId="0" fontId="4" fillId="11" borderId="0" xfId="0" applyFont="1" applyFill="1"/>
    <xf numFmtId="0" fontId="1" fillId="9" borderId="5" xfId="0" applyFont="1" applyFill="1" applyBorder="1"/>
    <xf numFmtId="0" fontId="1" fillId="9" borderId="5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 vertical="center"/>
    </xf>
    <xf numFmtId="0" fontId="1" fillId="0" borderId="2" xfId="0" applyFont="1" applyBorder="1"/>
    <xf numFmtId="0" fontId="1" fillId="5" borderId="3" xfId="0" applyFont="1" applyFill="1" applyBorder="1"/>
    <xf numFmtId="0" fontId="1" fillId="5" borderId="3" xfId="0" applyFont="1" applyFill="1" applyBorder="1" applyAlignment="1">
      <alignment horizontal="center" vertical="center"/>
    </xf>
    <xf numFmtId="0" fontId="1" fillId="5" borderId="5" xfId="0" applyFont="1" applyFill="1" applyBorder="1"/>
    <xf numFmtId="0" fontId="1" fillId="0" borderId="24" xfId="0" applyFont="1" applyBorder="1"/>
    <xf numFmtId="0" fontId="1" fillId="6" borderId="2" xfId="0" applyFont="1" applyFill="1" applyBorder="1" applyAlignment="1">
      <alignment horizontal="center"/>
    </xf>
    <xf numFmtId="0" fontId="1" fillId="0" borderId="30" xfId="0" applyFont="1" applyBorder="1"/>
    <xf numFmtId="0" fontId="1" fillId="7" borderId="1" xfId="0" applyFont="1" applyFill="1" applyBorder="1" applyAlignment="1">
      <alignment horizontal="center"/>
    </xf>
    <xf numFmtId="0" fontId="1" fillId="12" borderId="1" xfId="0" applyFont="1" applyFill="1" applyBorder="1"/>
    <xf numFmtId="0" fontId="1" fillId="12" borderId="30" xfId="0" applyFont="1" applyFill="1" applyBorder="1"/>
    <xf numFmtId="0" fontId="1" fillId="12" borderId="0" xfId="0" applyFont="1" applyFill="1"/>
    <xf numFmtId="0" fontId="1" fillId="2" borderId="3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1" fillId="0" borderId="0" xfId="0" applyNumberFormat="1" applyFont="1"/>
    <xf numFmtId="2" fontId="1" fillId="0" borderId="0" xfId="0" applyNumberFormat="1" applyFont="1"/>
    <xf numFmtId="0" fontId="1" fillId="6" borderId="6" xfId="0" applyFont="1" applyFill="1" applyBorder="1" applyAlignment="1">
      <alignment horizontal="center" vertical="center"/>
    </xf>
    <xf numFmtId="0" fontId="1" fillId="0" borderId="6" xfId="0" applyFont="1" applyBorder="1"/>
    <xf numFmtId="2" fontId="1" fillId="6" borderId="1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/>
    </xf>
    <xf numFmtId="0" fontId="5" fillId="6" borderId="1" xfId="0" applyFont="1" applyFill="1" applyBorder="1"/>
    <xf numFmtId="0" fontId="6" fillId="2" borderId="1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0" fillId="2" borderId="0" xfId="0" applyFill="1"/>
    <xf numFmtId="0" fontId="0" fillId="11" borderId="0" xfId="0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2.xml"/><Relationship Id="rId13" Type="http://schemas.openxmlformats.org/officeDocument/2006/relationships/customXml" Target="../ink/ink7.xml"/><Relationship Id="rId1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customXml" Target="../ink/ink6.xml"/><Relationship Id="rId17" Type="http://schemas.openxmlformats.org/officeDocument/2006/relationships/customXml" Target="../ink/ink11.xml"/><Relationship Id="rId2" Type="http://schemas.openxmlformats.org/officeDocument/2006/relationships/image" Target="../media/image2.png"/><Relationship Id="rId16" Type="http://schemas.openxmlformats.org/officeDocument/2006/relationships/customXml" Target="../ink/ink10.xml"/><Relationship Id="rId1" Type="http://schemas.openxmlformats.org/officeDocument/2006/relationships/image" Target="../media/image1.png"/><Relationship Id="rId6" Type="http://schemas.openxmlformats.org/officeDocument/2006/relationships/customXml" Target="../ink/ink1.xml"/><Relationship Id="rId11" Type="http://schemas.openxmlformats.org/officeDocument/2006/relationships/customXml" Target="../ink/ink5.xml"/><Relationship Id="rId5" Type="http://schemas.openxmlformats.org/officeDocument/2006/relationships/image" Target="../media/image5.png"/><Relationship Id="rId15" Type="http://schemas.openxmlformats.org/officeDocument/2006/relationships/customXml" Target="../ink/ink9.xml"/><Relationship Id="rId10" Type="http://schemas.openxmlformats.org/officeDocument/2006/relationships/customXml" Target="../ink/ink4.xml"/><Relationship Id="rId19" Type="http://schemas.openxmlformats.org/officeDocument/2006/relationships/customXml" Target="../ink/ink12.xml"/><Relationship Id="rId4" Type="http://schemas.openxmlformats.org/officeDocument/2006/relationships/image" Target="../media/image4.png"/><Relationship Id="rId9" Type="http://schemas.openxmlformats.org/officeDocument/2006/relationships/customXml" Target="../ink/ink3.xml"/><Relationship Id="rId14" Type="http://schemas.openxmlformats.org/officeDocument/2006/relationships/customXml" Target="../ink/ink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14.xml"/><Relationship Id="rId2" Type="http://schemas.openxmlformats.org/officeDocument/2006/relationships/image" Target="../media/image6.png"/><Relationship Id="rId1" Type="http://schemas.openxmlformats.org/officeDocument/2006/relationships/customXml" Target="../ink/ink13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ustomXml" Target="../ink/ink21.xml"/><Relationship Id="rId18" Type="http://schemas.openxmlformats.org/officeDocument/2006/relationships/image" Target="../media/image15.png"/><Relationship Id="rId26" Type="http://schemas.openxmlformats.org/officeDocument/2006/relationships/image" Target="../media/image19.png"/><Relationship Id="rId21" Type="http://schemas.openxmlformats.org/officeDocument/2006/relationships/customXml" Target="../ink/ink25.xml"/><Relationship Id="rId34" Type="http://schemas.openxmlformats.org/officeDocument/2006/relationships/customXml" Target="../ink/ink32.xml"/><Relationship Id="rId7" Type="http://schemas.openxmlformats.org/officeDocument/2006/relationships/customXml" Target="../ink/ink18.xml"/><Relationship Id="rId12" Type="http://schemas.openxmlformats.org/officeDocument/2006/relationships/image" Target="../media/image12.png"/><Relationship Id="rId17" Type="http://schemas.openxmlformats.org/officeDocument/2006/relationships/customXml" Target="../ink/ink23.xml"/><Relationship Id="rId25" Type="http://schemas.openxmlformats.org/officeDocument/2006/relationships/customXml" Target="../ink/ink27.xml"/><Relationship Id="rId33" Type="http://schemas.openxmlformats.org/officeDocument/2006/relationships/image" Target="../media/image22.png"/><Relationship Id="rId2" Type="http://schemas.openxmlformats.org/officeDocument/2006/relationships/image" Target="../media/image8.png"/><Relationship Id="rId16" Type="http://schemas.openxmlformats.org/officeDocument/2006/relationships/image" Target="../media/image14.png"/><Relationship Id="rId20" Type="http://schemas.openxmlformats.org/officeDocument/2006/relationships/image" Target="../media/image16.png"/><Relationship Id="rId29" Type="http://schemas.openxmlformats.org/officeDocument/2006/relationships/customXml" Target="../ink/ink29.xml"/><Relationship Id="rId1" Type="http://schemas.openxmlformats.org/officeDocument/2006/relationships/customXml" Target="../ink/ink15.xml"/><Relationship Id="rId6" Type="http://schemas.openxmlformats.org/officeDocument/2006/relationships/image" Target="../media/image6.png"/><Relationship Id="rId11" Type="http://schemas.openxmlformats.org/officeDocument/2006/relationships/customXml" Target="../ink/ink20.xml"/><Relationship Id="rId24" Type="http://schemas.openxmlformats.org/officeDocument/2006/relationships/image" Target="../media/image18.png"/><Relationship Id="rId32" Type="http://schemas.openxmlformats.org/officeDocument/2006/relationships/customXml" Target="../ink/ink31.xml"/><Relationship Id="rId37" Type="http://schemas.openxmlformats.org/officeDocument/2006/relationships/image" Target="../media/image24.png"/><Relationship Id="rId5" Type="http://schemas.openxmlformats.org/officeDocument/2006/relationships/customXml" Target="../ink/ink17.xml"/><Relationship Id="rId15" Type="http://schemas.openxmlformats.org/officeDocument/2006/relationships/customXml" Target="../ink/ink22.xml"/><Relationship Id="rId23" Type="http://schemas.openxmlformats.org/officeDocument/2006/relationships/customXml" Target="../ink/ink26.xml"/><Relationship Id="rId28" Type="http://schemas.openxmlformats.org/officeDocument/2006/relationships/image" Target="../media/image20.png"/><Relationship Id="rId36" Type="http://schemas.openxmlformats.org/officeDocument/2006/relationships/customXml" Target="../ink/ink33.xml"/><Relationship Id="rId10" Type="http://schemas.openxmlformats.org/officeDocument/2006/relationships/image" Target="../media/image11.png"/><Relationship Id="rId19" Type="http://schemas.openxmlformats.org/officeDocument/2006/relationships/customXml" Target="../ink/ink24.xml"/><Relationship Id="rId31" Type="http://schemas.openxmlformats.org/officeDocument/2006/relationships/customXml" Target="../ink/ink30.xml"/><Relationship Id="rId4" Type="http://schemas.openxmlformats.org/officeDocument/2006/relationships/image" Target="../media/image9.png"/><Relationship Id="rId9" Type="http://schemas.openxmlformats.org/officeDocument/2006/relationships/customXml" Target="../ink/ink19.xml"/><Relationship Id="rId14" Type="http://schemas.openxmlformats.org/officeDocument/2006/relationships/image" Target="../media/image13.png"/><Relationship Id="rId22" Type="http://schemas.openxmlformats.org/officeDocument/2006/relationships/image" Target="../media/image17.png"/><Relationship Id="rId27" Type="http://schemas.openxmlformats.org/officeDocument/2006/relationships/customXml" Target="../ink/ink28.xml"/><Relationship Id="rId30" Type="http://schemas.openxmlformats.org/officeDocument/2006/relationships/image" Target="../media/image21.png"/><Relationship Id="rId35" Type="http://schemas.openxmlformats.org/officeDocument/2006/relationships/image" Target="../media/image23.png"/><Relationship Id="rId8" Type="http://schemas.openxmlformats.org/officeDocument/2006/relationships/image" Target="../media/image10.png"/><Relationship Id="rId3" Type="http://schemas.openxmlformats.org/officeDocument/2006/relationships/customXml" Target="../ink/ink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927652</xdr:colOff>
      <xdr:row>128</xdr:row>
      <xdr:rowOff>20536</xdr:rowOff>
    </xdr:from>
    <xdr:to>
      <xdr:col>11</xdr:col>
      <xdr:colOff>510209</xdr:colOff>
      <xdr:row>158</xdr:row>
      <xdr:rowOff>119094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0904" y="22370327"/>
          <a:ext cx="4479235" cy="5280158"/>
        </a:xfrm>
        <a:prstGeom prst="rect">
          <a:avLst/>
        </a:prstGeom>
      </xdr:spPr>
    </xdr:pic>
    <xdr:clientData/>
  </xdr:twoCellAnchor>
  <xdr:twoCellAnchor editAs="oneCell">
    <xdr:from>
      <xdr:col>5</xdr:col>
      <xdr:colOff>914400</xdr:colOff>
      <xdr:row>51</xdr:row>
      <xdr:rowOff>132784</xdr:rowOff>
    </xdr:from>
    <xdr:to>
      <xdr:col>10</xdr:col>
      <xdr:colOff>128834</xdr:colOff>
      <xdr:row>73</xdr:row>
      <xdr:rowOff>93120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96400" y="9292024"/>
          <a:ext cx="3489254" cy="3831296"/>
        </a:xfrm>
        <a:prstGeom prst="rect">
          <a:avLst/>
        </a:prstGeom>
      </xdr:spPr>
    </xdr:pic>
    <xdr:clientData/>
  </xdr:twoCellAnchor>
  <xdr:twoCellAnchor editAs="oneCell">
    <xdr:from>
      <xdr:col>11</xdr:col>
      <xdr:colOff>326570</xdr:colOff>
      <xdr:row>54</xdr:row>
      <xdr:rowOff>41598</xdr:rowOff>
    </xdr:from>
    <xdr:to>
      <xdr:col>15</xdr:col>
      <xdr:colOff>239486</xdr:colOff>
      <xdr:row>74</xdr:row>
      <xdr:rowOff>133718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34256" y="9675455"/>
          <a:ext cx="3178630" cy="3584068"/>
        </a:xfrm>
        <a:prstGeom prst="rect">
          <a:avLst/>
        </a:prstGeom>
      </xdr:spPr>
    </xdr:pic>
    <xdr:clientData/>
  </xdr:twoCellAnchor>
  <xdr:twoCellAnchor editAs="oneCell">
    <xdr:from>
      <xdr:col>6</xdr:col>
      <xdr:colOff>99554</xdr:colOff>
      <xdr:row>80</xdr:row>
      <xdr:rowOff>45720</xdr:rowOff>
    </xdr:from>
    <xdr:to>
      <xdr:col>11</xdr:col>
      <xdr:colOff>646698</xdr:colOff>
      <xdr:row>101</xdr:row>
      <xdr:rowOff>155018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4554" y="14310360"/>
          <a:ext cx="4303804" cy="3797378"/>
        </a:xfrm>
        <a:prstGeom prst="rect">
          <a:avLst/>
        </a:prstGeom>
      </xdr:spPr>
    </xdr:pic>
    <xdr:clientData/>
  </xdr:twoCellAnchor>
  <xdr:twoCellAnchor editAs="oneCell">
    <xdr:from>
      <xdr:col>7</xdr:col>
      <xdr:colOff>624840</xdr:colOff>
      <xdr:row>103</xdr:row>
      <xdr:rowOff>152677</xdr:rowOff>
    </xdr:from>
    <xdr:to>
      <xdr:col>12</xdr:col>
      <xdr:colOff>442721</xdr:colOff>
      <xdr:row>121</xdr:row>
      <xdr:rowOff>161879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27920" y="18448297"/>
          <a:ext cx="4016501" cy="3163882"/>
        </a:xfrm>
        <a:prstGeom prst="rect">
          <a:avLst/>
        </a:prstGeom>
      </xdr:spPr>
    </xdr:pic>
    <xdr:clientData/>
  </xdr:twoCellAnchor>
  <xdr:twoCellAnchor editAs="oneCell">
    <xdr:from>
      <xdr:col>2</xdr:col>
      <xdr:colOff>1793391</xdr:colOff>
      <xdr:row>7</xdr:row>
      <xdr:rowOff>105194</xdr:rowOff>
    </xdr:from>
    <xdr:to>
      <xdr:col>2</xdr:col>
      <xdr:colOff>1793751</xdr:colOff>
      <xdr:row>7</xdr:row>
      <xdr:rowOff>105554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2D09374-A873-8B93-91DE-230F5AC0CADB}"/>
                </a:ext>
              </a:extLst>
            </xdr14:cNvPr>
            <xdr14:cNvContentPartPr/>
          </xdr14:nvContentPartPr>
          <xdr14:nvPr macro=""/>
          <xdr14:xfrm>
            <a:off x="3047760" y="1347840"/>
            <a:ext cx="360" cy="3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2D09374-A873-8B93-91DE-230F5AC0CAD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41640" y="1341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263880</xdr:colOff>
      <xdr:row>11</xdr:row>
      <xdr:rowOff>52385</xdr:rowOff>
    </xdr:from>
    <xdr:to>
      <xdr:col>0</xdr:col>
      <xdr:colOff>264240</xdr:colOff>
      <xdr:row>11</xdr:row>
      <xdr:rowOff>52745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79DDDFF-AE6B-ED65-0567-3701FD257E85}"/>
                </a:ext>
              </a:extLst>
            </xdr14:cNvPr>
            <xdr14:cNvContentPartPr/>
          </xdr14:nvContentPartPr>
          <xdr14:nvPr macro=""/>
          <xdr14:xfrm>
            <a:off x="263880" y="2016000"/>
            <a:ext cx="36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79DDDFF-AE6B-ED65-0567-3701FD257E8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7760" y="2009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439431</xdr:colOff>
      <xdr:row>10</xdr:row>
      <xdr:rowOff>82015</xdr:rowOff>
    </xdr:from>
    <xdr:to>
      <xdr:col>3</xdr:col>
      <xdr:colOff>439791</xdr:colOff>
      <xdr:row>10</xdr:row>
      <xdr:rowOff>82375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01D6981-F760-BB37-CB97-B24A8C5573F3}"/>
                </a:ext>
              </a:extLst>
            </xdr14:cNvPr>
            <xdr14:cNvContentPartPr/>
          </xdr14:nvContentPartPr>
          <xdr14:nvPr macro=""/>
          <xdr14:xfrm>
            <a:off x="3751200" y="1852200"/>
            <a:ext cx="360" cy="3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01D6981-F760-BB37-CB97-B24A8C5573F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745080" y="18460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2496831</xdr:colOff>
      <xdr:row>11</xdr:row>
      <xdr:rowOff>58505</xdr:rowOff>
    </xdr:from>
    <xdr:to>
      <xdr:col>3</xdr:col>
      <xdr:colOff>2497191</xdr:colOff>
      <xdr:row>11</xdr:row>
      <xdr:rowOff>58865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E5B9C6C-B0DD-A34C-B337-773DD3DF958C}"/>
                </a:ext>
              </a:extLst>
            </xdr14:cNvPr>
            <xdr14:cNvContentPartPr/>
          </xdr14:nvContentPartPr>
          <xdr14:nvPr macro=""/>
          <xdr14:xfrm>
            <a:off x="5808600" y="2022120"/>
            <a:ext cx="360" cy="3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E5B9C6C-B0DD-A34C-B337-773DD3DF958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802480" y="2016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286994</xdr:colOff>
      <xdr:row>5</xdr:row>
      <xdr:rowOff>40726</xdr:rowOff>
    </xdr:from>
    <xdr:to>
      <xdr:col>6</xdr:col>
      <xdr:colOff>287354</xdr:colOff>
      <xdr:row>5</xdr:row>
      <xdr:rowOff>41086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C7A138E-9413-6F9E-B186-02A36D928389}"/>
                </a:ext>
              </a:extLst>
            </xdr14:cNvPr>
            <xdr14:cNvContentPartPr/>
          </xdr14:nvContentPartPr>
          <xdr14:nvPr macro=""/>
          <xdr14:xfrm>
            <a:off x="9073440" y="931680"/>
            <a:ext cx="360" cy="3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4C7A138E-9413-6F9E-B186-02A36D92838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067320" y="925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845820</xdr:colOff>
      <xdr:row>55</xdr:row>
      <xdr:rowOff>137040</xdr:rowOff>
    </xdr:from>
    <xdr:to>
      <xdr:col>8</xdr:col>
      <xdr:colOff>846180</xdr:colOff>
      <xdr:row>55</xdr:row>
      <xdr:rowOff>137400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BBFDF63-E4EC-0868-AD52-AB8365B354C5}"/>
                </a:ext>
              </a:extLst>
            </xdr14:cNvPr>
            <xdr14:cNvContentPartPr/>
          </xdr14:nvContentPartPr>
          <xdr14:nvPr macro=""/>
          <xdr14:xfrm>
            <a:off x="11064240" y="10004940"/>
            <a:ext cx="360" cy="3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BBFDF63-E4EC-0868-AD52-AB8365B354C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058120" y="99988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30420</xdr:colOff>
      <xdr:row>51</xdr:row>
      <xdr:rowOff>68460</xdr:rowOff>
    </xdr:from>
    <xdr:to>
      <xdr:col>4</xdr:col>
      <xdr:colOff>30780</xdr:colOff>
      <xdr:row>51</xdr:row>
      <xdr:rowOff>68820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92939F5-A715-1DEC-87D9-6B26E9914F36}"/>
                </a:ext>
              </a:extLst>
            </xdr14:cNvPr>
            <xdr14:cNvContentPartPr/>
          </xdr14:nvContentPartPr>
          <xdr14:nvPr macro=""/>
          <xdr14:xfrm>
            <a:off x="6225480" y="9227700"/>
            <a:ext cx="360" cy="36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792939F5-A715-1DEC-87D9-6B26E9914F3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219360" y="92215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334980</xdr:colOff>
      <xdr:row>48</xdr:row>
      <xdr:rowOff>175200</xdr:rowOff>
    </xdr:from>
    <xdr:to>
      <xdr:col>4</xdr:col>
      <xdr:colOff>335340</xdr:colOff>
      <xdr:row>49</xdr:row>
      <xdr:rowOff>5544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CC32C3A9-C50E-DD8F-9E54-23BDB65FACE2}"/>
                </a:ext>
              </a:extLst>
            </xdr14:cNvPr>
            <xdr14:cNvContentPartPr/>
          </xdr14:nvContentPartPr>
          <xdr14:nvPr macro=""/>
          <xdr14:xfrm>
            <a:off x="6530040" y="8808660"/>
            <a:ext cx="360" cy="3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CC32C3A9-C50E-DD8F-9E54-23BDB65FACE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523920" y="88025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769320</xdr:colOff>
      <xdr:row>48</xdr:row>
      <xdr:rowOff>38040</xdr:rowOff>
    </xdr:from>
    <xdr:to>
      <xdr:col>5</xdr:col>
      <xdr:colOff>769680</xdr:colOff>
      <xdr:row>48</xdr:row>
      <xdr:rowOff>38400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83154AA5-82DC-1F66-CD0D-4197799525A8}"/>
                </a:ext>
              </a:extLst>
            </xdr14:cNvPr>
            <xdr14:cNvContentPartPr/>
          </xdr14:nvContentPartPr>
          <xdr14:nvPr macro=""/>
          <xdr14:xfrm>
            <a:off x="8404560" y="8671500"/>
            <a:ext cx="360" cy="36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83154AA5-82DC-1F66-CD0D-4197799525A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398440" y="86653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701040</xdr:colOff>
      <xdr:row>10</xdr:row>
      <xdr:rowOff>53400</xdr:rowOff>
    </xdr:from>
    <xdr:to>
      <xdr:col>7</xdr:col>
      <xdr:colOff>701400</xdr:colOff>
      <xdr:row>10</xdr:row>
      <xdr:rowOff>53760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2E05927-8EF2-5AD4-E9A1-DBC3157D251D}"/>
                </a:ext>
              </a:extLst>
            </xdr14:cNvPr>
            <xdr14:cNvContentPartPr/>
          </xdr14:nvContentPartPr>
          <xdr14:nvPr macro=""/>
          <xdr14:xfrm>
            <a:off x="10104120" y="1821240"/>
            <a:ext cx="360" cy="3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2E05927-8EF2-5AD4-E9A1-DBC3157D251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098000" y="18151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348960</xdr:colOff>
      <xdr:row>11</xdr:row>
      <xdr:rowOff>144780</xdr:rowOff>
    </xdr:from>
    <xdr:to>
      <xdr:col>7</xdr:col>
      <xdr:colOff>350760</xdr:colOff>
      <xdr:row>11</xdr:row>
      <xdr:rowOff>145140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894DFFF-F7A9-32C5-D89C-BBC49A499E92}"/>
                </a:ext>
              </a:extLst>
            </xdr14:cNvPr>
            <xdr14:cNvContentPartPr/>
          </xdr14:nvContentPartPr>
          <xdr14:nvPr macro=""/>
          <xdr14:xfrm>
            <a:off x="9752040" y="2103120"/>
            <a:ext cx="1800" cy="36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894DFFF-F7A9-32C5-D89C-BBC49A499E92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745920" y="2097000"/>
              <a:ext cx="14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228360</xdr:colOff>
      <xdr:row>11</xdr:row>
      <xdr:rowOff>144780</xdr:rowOff>
    </xdr:from>
    <xdr:to>
      <xdr:col>7</xdr:col>
      <xdr:colOff>228720</xdr:colOff>
      <xdr:row>11</xdr:row>
      <xdr:rowOff>145140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E2CFE36-347A-0711-2A38-80817BEFFD04}"/>
                </a:ext>
              </a:extLst>
            </xdr14:cNvPr>
            <xdr14:cNvContentPartPr/>
          </xdr14:nvContentPartPr>
          <xdr14:nvPr macro=""/>
          <xdr14:xfrm>
            <a:off x="9631440" y="2103120"/>
            <a:ext cx="360" cy="3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E2CFE36-347A-0711-2A38-80817BEFFD0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625320" y="2097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1793391</xdr:colOff>
      <xdr:row>4</xdr:row>
      <xdr:rowOff>105194</xdr:rowOff>
    </xdr:from>
    <xdr:to>
      <xdr:col>5</xdr:col>
      <xdr:colOff>3051</xdr:colOff>
      <xdr:row>4</xdr:row>
      <xdr:rowOff>105554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8320170-2B3E-4529-ABC4-E93D2489799C}"/>
                </a:ext>
              </a:extLst>
            </xdr14:cNvPr>
            <xdr14:cNvContentPartPr/>
          </xdr14:nvContentPartPr>
          <xdr14:nvPr macro=""/>
          <xdr14:xfrm>
            <a:off x="3047760" y="134784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8320170-2B3E-4529-ABC4-E93D248979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41640" y="1341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2496831</xdr:colOff>
      <xdr:row>5</xdr:row>
      <xdr:rowOff>58505</xdr:rowOff>
    </xdr:from>
    <xdr:to>
      <xdr:col>5</xdr:col>
      <xdr:colOff>1415151</xdr:colOff>
      <xdr:row>5</xdr:row>
      <xdr:rowOff>58865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D720EFB-33F9-4D0F-9AEB-7D4C1A8741D1}"/>
                </a:ext>
              </a:extLst>
            </xdr14:cNvPr>
            <xdr14:cNvContentPartPr/>
          </xdr14:nvContentPartPr>
          <xdr14:nvPr macro=""/>
          <xdr14:xfrm>
            <a:off x="5808600" y="2022120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D720EFB-33F9-4D0F-9AEB-7D4C1A8741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02480" y="2016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256560</xdr:colOff>
      <xdr:row>2</xdr:row>
      <xdr:rowOff>141898</xdr:rowOff>
    </xdr:from>
    <xdr:to>
      <xdr:col>7</xdr:col>
      <xdr:colOff>475080</xdr:colOff>
      <xdr:row>8</xdr:row>
      <xdr:rowOff>80872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D99FD82-9FFB-9C02-708F-3993DB5D96F3}"/>
                </a:ext>
              </a:extLst>
            </xdr14:cNvPr>
            <xdr14:cNvContentPartPr/>
          </xdr14:nvContentPartPr>
          <xdr14:nvPr macro=""/>
          <xdr14:xfrm>
            <a:off x="4523760" y="509760"/>
            <a:ext cx="218520" cy="10425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D99FD82-9FFB-9C02-708F-3993DB5D96F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7640" y="503640"/>
              <a:ext cx="230760" cy="10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435960</xdr:colOff>
      <xdr:row>3</xdr:row>
      <xdr:rowOff>35367</xdr:rowOff>
    </xdr:from>
    <xdr:to>
      <xdr:col>7</xdr:col>
      <xdr:colOff>3840</xdr:colOff>
      <xdr:row>4</xdr:row>
      <xdr:rowOff>16676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737C93A-219D-C516-E6A1-C42DCE841032}"/>
                </a:ext>
              </a:extLst>
            </xdr14:cNvPr>
            <xdr14:cNvContentPartPr/>
          </xdr14:nvContentPartPr>
          <xdr14:nvPr macro=""/>
          <xdr14:xfrm>
            <a:off x="4093560" y="587160"/>
            <a:ext cx="177480" cy="16524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737C93A-219D-C516-E6A1-C42DCE84103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087440" y="581040"/>
              <a:ext cx="18972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278280</xdr:colOff>
      <xdr:row>8</xdr:row>
      <xdr:rowOff>78712</xdr:rowOff>
    </xdr:from>
    <xdr:to>
      <xdr:col>3</xdr:col>
      <xdr:colOff>278640</xdr:colOff>
      <xdr:row>8</xdr:row>
      <xdr:rowOff>79072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BEA9801-06F0-79C3-31C7-D8CBAD26F87D}"/>
                </a:ext>
              </a:extLst>
            </xdr14:cNvPr>
            <xdr14:cNvContentPartPr/>
          </xdr14:nvContentPartPr>
          <xdr14:nvPr macro=""/>
          <xdr14:xfrm>
            <a:off x="2107080" y="1550160"/>
            <a:ext cx="360" cy="36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EBEA9801-06F0-79C3-31C7-D8CBAD26F87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00960" y="1544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562080</xdr:colOff>
      <xdr:row>1</xdr:row>
      <xdr:rowOff>167429</xdr:rowOff>
    </xdr:from>
    <xdr:to>
      <xdr:col>12</xdr:col>
      <xdr:colOff>159840</xdr:colOff>
      <xdr:row>4</xdr:row>
      <xdr:rowOff>79316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DA19E8B4-702B-0CCA-58A0-82A95C3FB271}"/>
                </a:ext>
              </a:extLst>
            </xdr14:cNvPr>
            <xdr14:cNvContentPartPr/>
          </xdr14:nvContentPartPr>
          <xdr14:nvPr macro=""/>
          <xdr14:xfrm>
            <a:off x="7267680" y="351360"/>
            <a:ext cx="207360" cy="46368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DA19E8B4-702B-0CCA-58A0-82A95C3FB27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261560" y="345240"/>
              <a:ext cx="219600" cy="47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391920</xdr:colOff>
      <xdr:row>8</xdr:row>
      <xdr:rowOff>69712</xdr:rowOff>
    </xdr:from>
    <xdr:to>
      <xdr:col>11</xdr:col>
      <xdr:colOff>452259</xdr:colOff>
      <xdr:row>10</xdr:row>
      <xdr:rowOff>158690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97B6E8F5-F0F5-3D9B-D076-080969D35D3E}"/>
                </a:ext>
              </a:extLst>
            </xdr14:cNvPr>
            <xdr14:cNvContentPartPr/>
          </xdr14:nvContentPartPr>
          <xdr14:nvPr macro=""/>
          <xdr14:xfrm>
            <a:off x="4659120" y="1541160"/>
            <a:ext cx="2824560" cy="45684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97B6E8F5-F0F5-3D9B-D076-080969D35D3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653000" y="1535040"/>
              <a:ext cx="2836800" cy="46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521040</xdr:colOff>
      <xdr:row>0</xdr:row>
      <xdr:rowOff>90720</xdr:rowOff>
    </xdr:from>
    <xdr:to>
      <xdr:col>12</xdr:col>
      <xdr:colOff>538200</xdr:colOff>
      <xdr:row>9</xdr:row>
      <xdr:rowOff>71181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7D045EB1-9323-D7E5-510A-2160A4EBD917}"/>
                </a:ext>
              </a:extLst>
            </xdr14:cNvPr>
            <xdr14:cNvContentPartPr/>
          </xdr14:nvContentPartPr>
          <xdr14:nvPr macro=""/>
          <xdr14:xfrm>
            <a:off x="7226640" y="90720"/>
            <a:ext cx="626760" cy="163584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7D045EB1-9323-D7E5-510A-2160A4EBD91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220520" y="84600"/>
              <a:ext cx="639000" cy="164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20520</xdr:colOff>
      <xdr:row>1</xdr:row>
      <xdr:rowOff>136469</xdr:rowOff>
    </xdr:from>
    <xdr:to>
      <xdr:col>12</xdr:col>
      <xdr:colOff>105480</xdr:colOff>
      <xdr:row>2</xdr:row>
      <xdr:rowOff>73498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B54B9FA0-8722-441F-C594-EE9702910B7D}"/>
                </a:ext>
              </a:extLst>
            </xdr14:cNvPr>
            <xdr14:cNvContentPartPr/>
          </xdr14:nvContentPartPr>
          <xdr14:nvPr macro=""/>
          <xdr14:xfrm>
            <a:off x="7335720" y="320400"/>
            <a:ext cx="84960" cy="1209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B54B9FA0-8722-441F-C594-EE9702910B7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329600" y="314280"/>
              <a:ext cx="9720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226080</xdr:colOff>
      <xdr:row>5</xdr:row>
      <xdr:rowOff>57745</xdr:rowOff>
    </xdr:from>
    <xdr:to>
      <xdr:col>7</xdr:col>
      <xdr:colOff>52080</xdr:colOff>
      <xdr:row>5</xdr:row>
      <xdr:rowOff>169345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E9513C5D-C76D-A7D8-1633-A564E79CAFAA}"/>
                </a:ext>
              </a:extLst>
            </xdr14:cNvPr>
            <xdr14:cNvContentPartPr/>
          </xdr14:nvContentPartPr>
          <xdr14:nvPr macro=""/>
          <xdr14:xfrm>
            <a:off x="3883680" y="977400"/>
            <a:ext cx="435600" cy="11160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E9513C5D-C76D-A7D8-1633-A564E79CAFA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877565" y="971280"/>
              <a:ext cx="44783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378120</xdr:colOff>
      <xdr:row>12</xdr:row>
      <xdr:rowOff>33828</xdr:rowOff>
    </xdr:from>
    <xdr:to>
      <xdr:col>7</xdr:col>
      <xdr:colOff>501720</xdr:colOff>
      <xdr:row>15</xdr:row>
      <xdr:rowOff>47594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70ED68C7-967D-B7CE-326A-9933E8372F44}"/>
                </a:ext>
              </a:extLst>
            </xdr14:cNvPr>
            <xdr14:cNvContentPartPr/>
          </xdr14:nvContentPartPr>
          <xdr14:nvPr macro=""/>
          <xdr14:xfrm>
            <a:off x="3426120" y="2241000"/>
            <a:ext cx="1342800" cy="56556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70ED68C7-967D-B7CE-326A-9933E8372F4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420000" y="2234876"/>
              <a:ext cx="1355040" cy="5778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246600</xdr:colOff>
      <xdr:row>2</xdr:row>
      <xdr:rowOff>92218</xdr:rowOff>
    </xdr:from>
    <xdr:to>
      <xdr:col>7</xdr:col>
      <xdr:colOff>273840</xdr:colOff>
      <xdr:row>5</xdr:row>
      <xdr:rowOff>63865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86897E0-18C4-2178-F9F2-A431B840F294}"/>
                </a:ext>
              </a:extLst>
            </xdr14:cNvPr>
            <xdr14:cNvContentPartPr/>
          </xdr14:nvContentPartPr>
          <xdr14:nvPr macro=""/>
          <xdr14:xfrm>
            <a:off x="3904200" y="460080"/>
            <a:ext cx="636840" cy="52344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86897E0-18C4-2178-F9F2-A431B840F29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898080" y="453960"/>
              <a:ext cx="649080" cy="53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257160</xdr:colOff>
      <xdr:row>13</xdr:row>
      <xdr:rowOff>89657</xdr:rowOff>
    </xdr:from>
    <xdr:to>
      <xdr:col>8</xdr:col>
      <xdr:colOff>401880</xdr:colOff>
      <xdr:row>13</xdr:row>
      <xdr:rowOff>94697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DCE020D7-047F-55FB-CF43-F37AB127007D}"/>
                </a:ext>
              </a:extLst>
            </xdr14:cNvPr>
            <xdr14:cNvContentPartPr/>
          </xdr14:nvContentPartPr>
          <xdr14:nvPr macro=""/>
          <xdr14:xfrm>
            <a:off x="5133960" y="2480760"/>
            <a:ext cx="144720" cy="504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DCE020D7-047F-55FB-CF43-F37AB127007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127840" y="2474640"/>
              <a:ext cx="15696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257160</xdr:colOff>
      <xdr:row>14</xdr:row>
      <xdr:rowOff>29206</xdr:rowOff>
    </xdr:from>
    <xdr:to>
      <xdr:col>8</xdr:col>
      <xdr:colOff>428520</xdr:colOff>
      <xdr:row>14</xdr:row>
      <xdr:rowOff>31726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01D4BC6A-40EC-90BA-EE92-4CF16A28CA89}"/>
                </a:ext>
              </a:extLst>
            </xdr14:cNvPr>
            <xdr14:cNvContentPartPr/>
          </xdr14:nvContentPartPr>
          <xdr14:nvPr macro=""/>
          <xdr14:xfrm>
            <a:off x="5133960" y="2604240"/>
            <a:ext cx="171360" cy="252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01D4BC6A-40EC-90BA-EE92-4CF16A28CA8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127840" y="2598120"/>
              <a:ext cx="18360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299640</xdr:colOff>
      <xdr:row>6</xdr:row>
      <xdr:rowOff>77934</xdr:rowOff>
    </xdr:from>
    <xdr:to>
      <xdr:col>6</xdr:col>
      <xdr:colOff>167040</xdr:colOff>
      <xdr:row>8</xdr:row>
      <xdr:rowOff>126232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5A95D350-F80A-F7FE-CC3F-ECAF29CC7719}"/>
                </a:ext>
              </a:extLst>
            </xdr14:cNvPr>
            <xdr14:cNvContentPartPr/>
          </xdr14:nvContentPartPr>
          <xdr14:nvPr macro=""/>
          <xdr14:xfrm>
            <a:off x="3347640" y="1181520"/>
            <a:ext cx="477000" cy="41616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5A95D350-F80A-F7FE-CC3F-ECAF29CC7719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341520" y="1175400"/>
              <a:ext cx="489240" cy="42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283560</xdr:colOff>
      <xdr:row>2</xdr:row>
      <xdr:rowOff>9778</xdr:rowOff>
    </xdr:from>
    <xdr:to>
      <xdr:col>11</xdr:col>
      <xdr:colOff>289539</xdr:colOff>
      <xdr:row>2</xdr:row>
      <xdr:rowOff>153778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0DB24C34-FA06-6560-A3F5-29E2B7BE676A}"/>
                </a:ext>
              </a:extLst>
            </xdr14:cNvPr>
            <xdr14:cNvContentPartPr/>
          </xdr14:nvContentPartPr>
          <xdr14:nvPr macro=""/>
          <xdr14:xfrm>
            <a:off x="4550760" y="377640"/>
            <a:ext cx="2770200" cy="14400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0DB24C34-FA06-6560-A3F5-29E2B7BE676A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544640" y="371520"/>
              <a:ext cx="278244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399360</xdr:colOff>
      <xdr:row>3</xdr:row>
      <xdr:rowOff>125727</xdr:rowOff>
    </xdr:from>
    <xdr:to>
      <xdr:col>6</xdr:col>
      <xdr:colOff>105840</xdr:colOff>
      <xdr:row>4</xdr:row>
      <xdr:rowOff>147716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A933035A-BF2E-E812-CC60-EE143252F0D7}"/>
                </a:ext>
              </a:extLst>
            </xdr14:cNvPr>
            <xdr14:cNvContentPartPr/>
          </xdr14:nvContentPartPr>
          <xdr14:nvPr macro=""/>
          <xdr14:xfrm>
            <a:off x="3447360" y="677520"/>
            <a:ext cx="316080" cy="20592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A933035A-BF2E-E812-CC60-EE143252F0D7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441240" y="671400"/>
              <a:ext cx="32832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131400</xdr:colOff>
      <xdr:row>7</xdr:row>
      <xdr:rowOff>110363</xdr:rowOff>
    </xdr:from>
    <xdr:to>
      <xdr:col>6</xdr:col>
      <xdr:colOff>131760</xdr:colOff>
      <xdr:row>7</xdr:row>
      <xdr:rowOff>110723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0A315B9E-CBAE-D1C2-8D5C-AA50BC9CCA53}"/>
                </a:ext>
              </a:extLst>
            </xdr14:cNvPr>
            <xdr14:cNvContentPartPr/>
          </xdr14:nvContentPartPr>
          <xdr14:nvPr macro=""/>
          <xdr14:xfrm>
            <a:off x="3789000" y="1397880"/>
            <a:ext cx="360" cy="36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0A315B9E-CBAE-D1C2-8D5C-AA50BC9CCA5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782880" y="1391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497880</xdr:colOff>
      <xdr:row>3</xdr:row>
      <xdr:rowOff>36447</xdr:rowOff>
    </xdr:from>
    <xdr:to>
      <xdr:col>9</xdr:col>
      <xdr:colOff>529179</xdr:colOff>
      <xdr:row>10</xdr:row>
      <xdr:rowOff>83810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292F26D3-CAC4-6F3A-7AF9-114D3210BBCD}"/>
                </a:ext>
              </a:extLst>
            </xdr14:cNvPr>
            <xdr14:cNvContentPartPr/>
          </xdr14:nvContentPartPr>
          <xdr14:nvPr macro=""/>
          <xdr14:xfrm>
            <a:off x="4155480" y="588240"/>
            <a:ext cx="2185920" cy="133488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292F26D3-CAC4-6F3A-7AF9-114D3210BBC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149360" y="582118"/>
              <a:ext cx="2198160" cy="13471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110160</xdr:colOff>
      <xdr:row>8</xdr:row>
      <xdr:rowOff>56032</xdr:rowOff>
    </xdr:from>
    <xdr:to>
      <xdr:col>7</xdr:col>
      <xdr:colOff>148920</xdr:colOff>
      <xdr:row>10</xdr:row>
      <xdr:rowOff>69410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31AC6925-741E-DE9F-BF54-C89259EE9109}"/>
                </a:ext>
              </a:extLst>
            </xdr14:cNvPr>
            <xdr14:cNvContentPartPr/>
          </xdr14:nvContentPartPr>
          <xdr14:nvPr macro=""/>
          <xdr14:xfrm>
            <a:off x="3767760" y="1527480"/>
            <a:ext cx="648360" cy="381240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31AC6925-741E-DE9F-BF54-C89259EE910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761640" y="1521354"/>
              <a:ext cx="660600" cy="3934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304560</xdr:colOff>
      <xdr:row>3</xdr:row>
      <xdr:rowOff>113847</xdr:rowOff>
    </xdr:from>
    <xdr:to>
      <xdr:col>9</xdr:col>
      <xdr:colOff>424059</xdr:colOff>
      <xdr:row>9</xdr:row>
      <xdr:rowOff>84501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A670BCFD-9BB0-BF11-2AE6-2F6BE328A8DA}"/>
                </a:ext>
              </a:extLst>
            </xdr14:cNvPr>
            <xdr14:cNvContentPartPr/>
          </xdr14:nvContentPartPr>
          <xdr14:nvPr macro=""/>
          <xdr14:xfrm>
            <a:off x="3962160" y="665640"/>
            <a:ext cx="2274120" cy="107424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A670BCFD-9BB0-BF11-2AE6-2F6BE328A8D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956040" y="659520"/>
              <a:ext cx="2286360" cy="1086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9:21.010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9:24.410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0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9:28.634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9:31.696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0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9:36.757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1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41:07.744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0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41:11.372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0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41:11.835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0 24575,'-1'0'-8191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41:12.645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0 24575,'0'0'-8191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41:18.929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1 0 24575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41:19.473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5 0 24575,'-4'0'0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41:19.907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0 24575,'-1'0'-8191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52:53.661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1 24575,'0'0'-8191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53:14.341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0 0 24575,'0'0'-8191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2:48.952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207 2658 24575,'-6'0'0,"0"1"0,-1 0 0,1 0 0,0 0 0,0 1 0,0 0 0,1 0 0,-1 0 0,0 1 0,1 0 0,0 0 0,-1 0 0,1 1 0,1 0 0,-1 0 0,0 0 0,1 0 0,0 1 0,0 0 0,-5 8 0,-4 8 0,0 0 0,2 1 0,-15 42 0,19-42 0,1 1 0,1-1 0,1 2 0,1-1 0,1 0 0,1 1 0,1-1 0,5 37 0,-3-47 0,1 0 0,1 0 0,0 0 0,0-1 0,1 1 0,1-1 0,0 0 0,1 0 0,0-1 0,1 0 0,0 0 0,1-1 0,0 0 0,0-1 0,1 1 0,1-2 0,-1 0 0,1 0 0,1-1 0,-1 0 0,1-1 0,0 0 0,1-1 0,-1 0 0,1-1 0,0-1 0,23 4 0,-8-3 0,0-2 0,0-1 0,0-1 0,54-7 0,-78 6 0,1-1 0,0 0 0,-1 0 0,1 0 0,-1-1 0,1 1 0,-1-1 0,0 0 0,0-1 0,-1 1 0,1 0 0,-1-1 0,1 0 0,-1 0 0,0 0 0,4-9 0,4-7 0,-2 0 0,12-35 0,-9 22 0,-8 21 0,-1-1 0,0 1 0,-1-1 0,0 1 0,0-23 0,-5-66 0,1 80 0,0-1 0,-2 1 0,0 0 0,-2 0 0,-9-24 0,12 36 0,-2 1 0,1 0 0,-1 1 0,0-1 0,-1 1 0,1 0 0,-1 0 0,-1 0 0,-11-8 0,5 4 0,-2 1 0,1 0 0,-33-16 0,35 23 0,0 0 0,-1 0 0,1 1 0,-1 1 0,1 0 0,-1 1 0,1 0 0,-22 3 0,-15-1 0,-36-2-1365,71 0-5461</inkml:trace>
  <inkml:trace contextRef="#ctx0" brushRef="#br0" timeOffset="1668.27">324 2643 24575,'-1'0'0,"1"0"0,-1-1 0,0 1 0,1 0 0,-1-1 0,0 1 0,1-1 0,-1 1 0,0-1 0,1 1 0,-1-1 0,1 0 0,-1 1 0,1-1 0,-1 1 0,1-1 0,0 0 0,-1 0 0,1 1 0,0-1 0,0 0 0,-1 0 0,1 1 0,0-1 0,0 0 0,0 0 0,0-1 0,-3-27 0,3 25 0,-2-104 0,2 52 0,-7-56 0,-27-81 0,0 11 0,0-65 0,29 187 0,2 1 0,6-61 0,-4-80 0,-1 186-1365,-1 1-5461</inkml:trace>
  <inkml:trace contextRef="#ctx0" brushRef="#br0" timeOffset="4353.14">207 468 24575,'-2'1'0,"-1"-1"0,1 1 0,0-1 0,-1 1 0,1 0 0,0 0 0,0 0 0,0 0 0,0 1 0,0-1 0,0 0 0,0 1 0,-2 2 0,-25 27 0,18-20 0,1 0 0,1 0 0,0 1 0,1 0 0,0 0 0,0 1 0,2 0 0,-8 19 0,13-30 0,1-1 0,-1 0 0,1 1 0,0-1 0,-1 0 0,1 1 0,0-1 0,0 1 0,0-1 0,0 0 0,0 1 0,1-1 0,-1 1 0,0-1 0,1 0 0,-1 1 0,0-1 0,1 0 0,0 1 0,-1-1 0,1 0 0,0 0 0,0 0 0,0 1 0,-1-1 0,1 0 0,0 0 0,0 0 0,1-1 0,-1 1 0,0 0 0,0 0 0,0 0 0,1-1 0,-1 1 0,0-1 0,1 1 0,-1-1 0,0 1 0,1-1 0,-1 0 0,0 0 0,2 0 0,10 2 0,-1 0 0,1-1 0,24-2 0,-25 1 0,7-1 0,43 2 0,-57 0 0,0-1 0,0 1 0,0 0 0,0 0 0,-1 1 0,1-1 0,0 1 0,-1 0 0,8 5 0,-11-7 0,0 1 0,0 0 0,0 0 0,0 0 0,0 0 0,0 0 0,0 0 0,0 0 0,-1 0 0,1 0 0,0 1 0,-1-1 0,1 0 0,-1 0 0,1 0 0,-1 1 0,1-1 0,-1 0 0,0 1 0,0-1 0,0 0 0,0 1 0,0-1 0,0 0 0,0 1 0,0-1 0,0 0 0,-1 1 0,1-1 0,-1 0 0,1 1 0,-1-1 0,1 0 0,-1 0 0,1 0 0,-1 0 0,0 1 0,-2 0 0,-3 6 0,0 0 0,-1-1 0,0 0 0,-10 7 0,8-7 0,-92 69 0,32-25 0,67-50 0,1-1 0,0 1 0,0 0 0,0 0 0,0 0 0,0 0 0,0 0 0,0 0 0,0 0 0,0 0 0,1 0 0,-1 0 0,0 0 0,1 1 0,-1-1 0,1 0 0,-1 1 0,1-1 0,0 0 0,-1 1 0,1 1 0,0-2 0,1 0 0,-1 0 0,1 1 0,-1-1 0,1 0 0,-1 0 0,1 0 0,0 0 0,0 0 0,-1 0 0,1 0 0,0 0 0,0-1 0,0 1 0,0 0 0,0 0 0,0-1 0,0 1 0,2 0 0,8 4 0,1-1 0,0 0 0,23 5 0,-17-5 0,160 52 0,-175-55 0,0-1 0,0 1 0,0 1 0,-1-1 0,1 0 0,0 1 0,-1-1 0,1 1 0,-1 0 0,1 0 0,-1 0 0,0 0 0,0 0 0,0 1 0,0-1 0,0 1 0,0-1 0,-1 1 0,2 3 0,-2-2 0,1 0 0,-2 0 0,1 1 0,0-1 0,-1 0 0,0 1 0,0-1 0,0 0 0,0 0 0,-1 1 0,0-1 0,-1 5 0,-2 5 0,-1-1 0,0 0 0,-1-1 0,-1 1 0,0-1 0,-1-1 0,-11 16 0,-26 18 46,34-35-328,0 0-1,1 1 1,0 0 0,-13 20 0,18-22-6544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2:57.927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0 4 24575,'153'2'0,"160"-5"0,-301 2 0,2 0 0,-14 1 0,0 0 0,0 0 0,0 0 0,0 1 0,0-1 0,0 0 0,0 0 0,0 1 0,1-1 0,-1 0 0,0 1 0,0-1 0,0 0 0,0 0 0,0 1 0,0-1 0,-1 0 0,1 0 0,0 1 0,0-1 0,0 0 0,0 0 0,0 1 0,0-1 0,0 0 0,0 0 0,-1 1 0,1-1 0,0 0 0,0 0 0,0 0 0,-1 1 0,1-1 0,0 0 0,0 0 0,0 0 0,-1 0 0,1 0 0,0 1 0,0-1 0,-1 0 0,1 0 0,0 0 0,0 0 0,-1 0 0,-33 33 0,1 1 0,2 1 0,1 2 0,-44 72 0,63-92 0,0 0 0,-1-1 0,-1 0 0,-1-1 0,0-1 0,-1 0 0,0-1 0,-1-1 0,0 0 0,-1-1 0,-36 17 0,46-23 0,10-1 0,22 1 0,35-4 0,129-3-1365,-169 2-5461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3:33.413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1 24575,'0'0'-8191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3:43.690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2 24575,'172'-2'0,"178"5"0,-348-3 0,0-1 0,0 1 0,0 1 0,0-1 0,0 0 0,0 0 0,0 1 0,0-1 0,0 1 0,0 0 0,0-1 0,0 1 0,0 0 0,-1 0 0,1 0 0,0 1 0,-1-1 0,1 0 0,-1 0 0,1 1 0,-1-1 0,0 1 0,1 0 0,-1-1 0,0 1 0,1 3 0,0 1 0,-1 0 0,0 1 0,0-1 0,-1 0 0,1 1 0,-1-1 0,-2 8 0,2-12 0,-1 30 0,-17 176 0,7-95 0,6 218 0,7-176 0,-2 192-1365,0-335-5461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3:49.194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7845 770 24575,'0'-1'0,"0"0"0,-1 1 0,1-1 0,0 0 0,-1 1 0,1-1 0,-1 1 0,1-1 0,-1 1 0,1-1 0,-1 1 0,0-1 0,1 1 0,-1-1 0,0 1 0,1 0 0,-1-1 0,0 1 0,1 0 0,-1 0 0,0-1 0,1 1 0,-1 0 0,0 0 0,0 0 0,-1 0 0,-26-2 0,24 2 0,-475-4 0,256 6 0,-15-3 0,-262 3 0,123 34 0,169-11 0,-323 41 0,126-13 0,-557 76 0,616-73 0,-29-1 0,97-24 0,131-17 0,-186 1 0,160-12 0,1 11 0,-28 0 0,-872-13 0,517-3 0,551 2 0,0-1 0,0 0 0,1 0 0,-1 0 0,0 0 0,0-1 0,1 1 0,-1-1 0,0 0 0,1 0 0,0 0 0,0-1 0,-1 1 0,1-1 0,1 0 0,-1 1 0,0-2 0,1 1 0,-1 0 0,1 0 0,0-1 0,0 1 0,0-1 0,-1-4 0,-6-12 0,2-1 0,0 0 0,-5-24 0,9 33 0,-42-201 0,37 140 0,3 0 0,8-125 0,11 93 0,-8 71 0,-2 0 0,1-38 0,-6 41 40,-1 0 0,-10-52 0,9 69-205,0 1 0,-1 0 0,-1 0 0,0 0 0,-1 1 0,0-1 0,-1 1 0,-12-16 0,13 21-6661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3:57.952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962 2273 24575,'2'0'0,"1"3"0,0 10 0,0 11 0,-1 6 0,-1 8 0,0 5 0,-1 2 0,0 4 0,0 4 0,0-3 0,-1-2 0,1 0 0,0-2 0,0-5 0,0-6 0,0-12 0,0-10-8191</inkml:trace>
  <inkml:trace contextRef="#ctx0" brushRef="#br0" timeOffset="1719.24">976 2171 24575,'62'-8'0,"-27"2"0,149-27 0,-106 17 0,103-8 0,-124 22 0,62 4 0,-117-2 0,0 0 0,0 1 0,0-1 0,0 1 0,0-1 0,0 1 0,0 0 0,0 0 0,0-1 0,0 2 0,-1-1 0,1 0 0,0 0 0,-1 0 0,1 1 0,-1-1 0,1 1 0,-1 0 0,1-1 0,-1 1 0,0 0 0,0 0 0,0-1 0,0 1 0,0 0 0,-1 0 0,1 0 0,0 0 0,-1 0 0,1 3 0,0 6 0,1 1 0,-2 1 0,0-1 0,-1 15 0,-1-4 0,-1 895 0,4-535 0,-1-368 0,-1 1 0,0-1 0,-1 0 0,-1 0 0,0 0 0,-1 0 0,-7 16 0,10-30 0,0 1 0,1-1 0,-1 1 0,0-1 0,0 0 0,0 1 0,0-1 0,0 0 0,0 0 0,-1 0 0,1 0 0,0 0 0,0 0 0,-1 0 0,1 0 0,-1-1 0,1 1 0,0 0 0,-1-1 0,0 0 0,1 1 0,-1-1 0,1 0 0,-1 1 0,1-1 0,-1 0 0,0 0 0,1 0 0,-1 0 0,1-1 0,-3 1 0,-5-3 0,-1 1 0,1-1 0,0 0 0,-10-6 0,2 2 0,-34-11 0,-1 1 0,-1 4 0,-71-11 0,41 15 0,-125 2 0,186 7 0,0 1 0,0 0 0,0 2 0,0 0 0,1 2 0,-1 0 0,-26 11 0,47-15 0,0-1 0,1 0 0,-1 1 0,0-1 0,1 0 0,-1 0 0,0 0 0,1 1 0,-1-1 0,0 0 0,1 0 0,-1 0 0,0 0 0,0 0 0,1-1 0,-1 1 0,0 0 0,1 0 0,-1 0 0,0 0 0,1-1 0,-1 1 0,0 0 0,1-1 0,-1 1 0,1-1 0,-1 1 0,1 0 0,-1-1 0,1 1 0,-1-1 0,1 1 0,-1-1 0,1 0 0,-1 1 0,1-1 0,0 1 0,0-1 0,-1 0 0,1 1 0,0-1 0,0 0 0,-1 1 0,1-1 0,0-1 0,-1-39 0,1 35 0,6-53 0,3 0 0,2 0 0,21-62 0,1-8 0,-33 126 0,15-58 0,-3-1 0,-2 0 0,1-72 0,-11 124 0,2 0 0,-1-1 0,1 1 0,1 1 0,0-1 0,7-17 0,-5 17 0,-1-1 0,-1 1 0,0-1 0,0 0 0,1-16 0,-3 7-1365,-1 2-5461</inkml:trace>
  <inkml:trace contextRef="#ctx0" brushRef="#br0" timeOffset="2838.35">626 1704 24575,'0'2'0,"1"-1"0,-1 1 0,1-1 0,-1 1 0,1-1 0,0 1 0,-1-1 0,1 1 0,0-1 0,0 0 0,0 0 0,0 1 0,1-1 0,-1 0 0,0 0 0,0 0 0,1 0 0,-1 0 0,0-1 0,3 2 0,36 16 0,-31-15 0,21 9 0,0-3 0,1 0 0,0-2 0,0-1 0,35 2 0,159-4 0,-224-4 0,3 0 0,0 0 0,0 0 0,0 0 0,0 0 0,-1 1 0,1-1 0,0 1 0,0 0 0,0 0 0,-1 1 0,1-1 0,0 1 0,-1 0 0,5 2 0,-6-1 0,0-1 0,1 1 0,-1 0 0,0 0 0,-1 0 0,1 0 0,0 0 0,-1 0 0,0 1 0,1-1 0,-1 0 0,-1 1 0,1-1 0,0 1 0,-1-1 0,0 5 0,2 249 0,-6-117 0,4 102-1365,0-216-5461</inkml:trace>
  <inkml:trace contextRef="#ctx0" brushRef="#br0" timeOffset="4049.89">1166 3544 24575,'-13'95'0,"-3"434"0,13-511 0,0 1 0,-1-1 0,-1 0 0,0 0 0,-1 0 0,-2-1 0,1 0 0,-12 17 0,-41 60 0,48-77 0,10-14 0,-1 0 0,1-1 0,-1 1 0,1-1 0,-1 0 0,0 0 0,0 0 0,0 0 0,0-1 0,0 1 0,-5 1 0,-42 11 0,32-10 0,-15 4 0,-1-2 0,-64 3 0,-72-9 0,76-2 0,-335 18-1365,388-11-5461</inkml:trace>
  <inkml:trace contextRef="#ctx0" brushRef="#br0" timeOffset="5824.63">596 11 24575,'0'0'0,"0"-1"0,0 0 0,-1 1 0,1-1 0,0 1 0,0-1 0,-1 1 0,1-1 0,0 1 0,-1-1 0,1 1 0,-1-1 0,1 1 0,0 0 0,-1-1 0,1 1 0,-1 0 0,1-1 0,-1 1 0,1 0 0,-1 0 0,1-1 0,-1 1 0,0 0 0,1 0 0,-1 0 0,1 0 0,-1 0 0,1-1 0,-1 1 0,0 0 0,1 1 0,-1-1 0,1 0 0,-1 0 0,0 0 0,1 0 0,-1 0 0,1 0 0,-1 1 0,0-1 0,-26 11 0,20-4 0,-1 0 0,1 1 0,0 0 0,1 1 0,0-1 0,0 1 0,1 0 0,0 1 0,1-1 0,-6 17 0,-2 14 0,-9 56 0,12-55 0,2-9 0,0-3 0,1 0 0,1 1 0,2-1 0,-1 37 0,5-64 0,-1 0 0,1 0 0,0 0 0,-1 0 0,1-1 0,0 1 0,0 0 0,0 0 0,0-1 0,0 1 0,0-1 0,1 1 0,-1-1 0,0 1 0,1-1 0,-1 0 0,1 0 0,0 0 0,-1 0 0,1 0 0,0 0 0,0 0 0,-1 0 0,1-1 0,0 1 0,0-1 0,0 1 0,0-1 0,4 0 0,8 2 0,1-1 0,29-1 0,-27 0 0,192-3 0,-207 3 0,0 0 0,-1 0 0,1 0 0,0 0 0,0 0 0,-1 1 0,1-1 0,0 0 0,0 1 0,-1 0 0,1-1 0,0 1 0,-1 0 0,1 0 0,-1 0 0,1 0 0,-1 0 0,0 0 0,1 0 0,-1 0 0,0 1 0,0-1 0,0 1 0,2 1 0,-2 0 0,0 0 0,-1 0 0,1 0 0,-1 0 0,1 0 0,-1 0 0,0 0 0,0 0 0,0 0 0,-1 0 0,1-1 0,-1 1 0,-1 4 0,-3 10 0,-2 0 0,0 0 0,-17 27 0,23-42 0,-26 40 0,-2-2 0,-43 46 0,32-38 0,-104 109 0,82-93 0,-87 118 0,148-180-49,-5 7-280,0 0 0,0 0 0,-6 17 0,8-14-6497</inkml:trace>
  <inkml:trace contextRef="#ctx0" brushRef="#br0" timeOffset="6375.73">188 1062 24575,'-1'15'0,"-1"-1"0,-1 0 0,0 1 0,-10 26 0,-5 27 0,16-58 0,1 0 0,-1-1 0,1 0 0,1 1 0,-1-1 0,2 12 0,0-19 0,-1 0 0,0 0 0,1 1 0,0-1 0,-1 0 0,1 0 0,0 0 0,0 0 0,0-1 0,0 1 0,1 0 0,-1 0 0,0-1 0,1 1 0,-1-1 0,1 1 0,0-1 0,-1 1 0,1-1 0,0 0 0,0 0 0,0 0 0,0 0 0,0 0 0,0 0 0,0-1 0,0 1 0,2 0 0,33 4 0,0-2 0,1-1 0,68-6 0,-72 2 0,-24 2-114,1 0 1,-1-1-1,0 0 0,0-1 0,0 0 1,0-1-1,0 0 0,0 0 0,-1-1 1,1 0-1,15-10 0,-15 5-6712</inkml:trace>
  <inkml:trace contextRef="#ctx0" brushRef="#br0" timeOffset="6975.29">1209 332 24575,'0'2'0,"0"7"0,0 8 0,0 11 0,0 9 0,0 8 0,0 9 0,0 2 0,0-1 0,0-2 0,0-2 0,0-1 0,0-3 0,0-5 0,0-7 0,3-10 0,0-9-8191</inkml:trace>
  <inkml:trace contextRef="#ctx0" brushRef="#br0" timeOffset="7609.14">1239 317 24575,'0'-2'0,"0"-4"0,7-3 0,11-2 0,8 0 0,6 0 0,2 1 0,-2 3 0,1 3 0,-3 1 0,-4 2 0,-6 1-8191</inkml:trace>
  <inkml:trace contextRef="#ctx0" brushRef="#br0" timeOffset="8088.02">1209 449 24575,'0'2'0,"3"2"0,8-1 0,9-1 0,12-2 0,10-2 0,3-1 0,1-2 0,-2 0 0,-6 0 0,-5 0 0,-7-1-8191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4:38.098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235 1 24575,'-15'12'0,"-14"14"0,-14 18 0,-3 9 0,6 0 0,7-7 0,10-5 0,18-11 0,22-9 0,19-12 0,7-12 0,10-15 0,-5-5-8191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8:17.678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306 1 24575,'3'0'0,"12"0"0,13 0 0,12 0 0,15 0 0,14 0 0,6 0 0,6 0 0,2 0 0,-7 0 0,-5 0 0,-5 0 0,-7 0 0,-8 0 0,-8 0 0,-6 0 0,-7 0 0,-8 0-8191</inkml:trace>
  <inkml:trace contextRef="#ctx0" brushRef="#br0" timeOffset="496.34">0 278 24575,'1'1'0,"0"0"0,0 1 0,0-1 0,0 0 0,0 0 0,1 0 0,-1 0 0,0 0 0,1 0 0,-1 0 0,0 0 0,1-1 0,-1 1 0,1 0 0,0-1 0,-1 1 0,3-1 0,31 5 0,-25-4 0,132 9 0,147-11 0,-124-1 0,-22 2-1365,-130 0-5461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8:24.433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424 957 24575,'0'-2'0,"0"-4"0,0 4 0,0 11 0,0 8 0,0 8 0,0 13 0,0 3 0,-5 8 0,-1 2 0,-3 4 0,0-3 0,3-1 0,-2-9 0,2-2 0,1-7 0,2-8-8191</inkml:trace>
  <inkml:trace contextRef="#ctx0" brushRef="#br0" timeOffset="454.77">1 986 24575,'2'-5'0,"14"-1"0,18-5 0,29-1 0,21-1 0,9 0 0,5 0 0,4-7 0,-6-1 0,-11 3 0,-18 4 0,-18 4 0,-17 5-8191</inkml:trace>
  <inkml:trace contextRef="#ctx0" brushRef="#br0" timeOffset="895.95">45 1555 24575,'0'3'0,"-3"0"0,5 1 0,9-2 0,12 0 0,16-1 0,12-3 0,11-1 0,2-3 0,2 0 0,-2-1 0,-9 0 0,-5 1 0,-8 2 0,-9-3 0,-5-1 0,-4 1 0,-7 2-8191</inkml:trace>
  <inkml:trace contextRef="#ctx0" brushRef="#br0" timeOffset="1579.87">950 1278 24575,'-1'-1'0,"1"-1"0,0 1 0,-1 0 0,1 0 0,-1-1 0,1 1 0,-1 0 0,0 0 0,1 0 0,-1-1 0,0 1 0,0 0 0,0 0 0,0 0 0,0 1 0,0-1 0,0 0 0,0 0 0,0 0 0,-1 1 0,1-1 0,0 1 0,0-1 0,-1 1 0,1-1 0,0 1 0,-1 0 0,1-1 0,0 1 0,-1 0 0,-2 0 0,2 0 0,0 0 0,0-1 0,1 1 0,-1 0 0,0 0 0,0 0 0,0 1 0,0-1 0,0 0 0,0 1 0,0 0 0,0-1 0,0 1 0,0 0 0,0 0 0,1 0 0,-1 0 0,0 0 0,1 0 0,-1 0 0,-1 2 0,2 0 0,0 0 0,0 0 0,1-1 0,-1 1 0,1 0 0,-1 0 0,1 0 0,0 0 0,0 0 0,0 0 0,1-1 0,-1 1 0,1 0 0,-1 0 0,1 0 0,0-1 0,0 1 0,0 0 0,1-1 0,-1 1 0,0-1 0,1 1 0,0-1 0,2 3 0,6 8 0,0-1 0,23 21 0,-29-29 0,1 0 0,-1 0 0,0 0 0,0 0 0,0 1 0,5 6 0,-9-10 0,0-1 0,0 1 0,1-1 0,-1 1 0,0 0 0,0-1 0,0 1 0,1-1 0,-1 1 0,0-1 0,0 1 0,0 0 0,0-1 0,0 1 0,0-1 0,0 1 0,0 0 0,-1-1 0,1 1 0,0-1 0,0 1 0,0-1 0,-1 2 0,0-1 0,0 0 0,0 0 0,0-1 0,0 1 0,-1 0 0,1 0 0,0-1 0,0 1 0,-1-1 0,1 1 0,0-1 0,0 0 0,-1 0 0,1 1 0,-3-1 0,-20 2-67,-46-3-1,42 0-1162,11 1-5596</inkml:trace>
  <inkml:trace contextRef="#ctx0" brushRef="#br0" timeOffset="2116.55">1343 1293 24575,'0'-3'0,"0"-5"0,-4-2 0,-10 1 0,-5 3 0,-1 1 0,4 2 0,9 4 0,12 7 0,13 4 0,6 3 0,3-1 0,8 2 0,0 0 0,1-2 0,0-3 0,-3-4 0,-9-3-8191</inkml:trace>
  <inkml:trace contextRef="#ctx0" brushRef="#br0" timeOffset="3391.03">2410 1176 24575,'-3'0'0,"-5"0"0,-5 0 0,-1 2 0,-2 4 0,2 6 0,4 2 0,1 3 0,1 0 0,3 0 0,-3 1 0,-2 2 0,-1-2 0,3 0 0,0-2 0,1-3-8191</inkml:trace>
  <inkml:trace contextRef="#ctx0" brushRef="#br0" timeOffset="4904.11">2818 329 24575,'2'5'0,"0"0"0,0 0 0,1 0 0,-1 0 0,1-1 0,4 5 0,66 84 0,84 118 0,-153-205 0,1 1 0,-2-1 0,1 1 0,-1 0 0,0 1 0,0-1 0,-1 0 0,0 1 0,0-1 0,0 1 0,0 12 0,-6-14-1365</inkml:trace>
  <inkml:trace contextRef="#ctx0" brushRef="#br0" timeOffset="5358.71">3066 286 24575,'-21'-1'0,"0"2"0,0 0 0,-29 7 0,42-6 0,0 0 0,0 1 0,0 0 0,0 1 0,1 0 0,0 0 0,-1 0 0,2 1 0,-1 0 0,0 0 0,-7 10 0,-50 55 0,-28 27 0,90-96 8,1 0-1,0 0 1,0 0 0,0 0-1,0 0 1,0 0-1,1 0 1,-1 1 0,0-1-1,0 0 1,1 0-1,-1 1 1,0 2 0,1-4-56,0 1 1,1-1-1,-1 1 1,0 0-1,0-1 1,1 1-1,-1-1 1,0 1-1,0-1 1,1 1-1,-1-1 1,1 1-1,-1-1 1,1 1-1,-1-1 1,1 1 0,-1-1-1,1 0 1,-1 1-1,1-1 1,-1 0-1,1 0 1,-1 1-1,1-1 1,0 0-1,-1 0 1,1 0-1,-1 0 1,1 0-1,1 0 1,17 4-6779</inkml:trace>
  <inkml:trace contextRef="#ctx0" brushRef="#br0" timeOffset="6480.32">2672 52 24575,'3'0'0,"3"2"0,5 7 0,6 5 0,3 9 0,2 5 0,6 6 0,5-1 0,4-2 0,-1 0 0,0-5 0,0-3 0,-5-3 0,-4-4 0,-5-3 0,-6-3-8191</inkml:trace>
  <inkml:trace contextRef="#ctx0" brushRef="#br0" timeOffset="7543.15">3343 8 24575,'3'102'0,"3"0"0,38 189 0,-42-286 0,0-6 0,0-16 0,-1-26 0,-10-86 0,4 79 0,1 0 0,7-90 0,-3 137 0,1-1 0,0 1 0,-1 0 0,1-1 0,0 1 0,1 0 0,-1 0 0,0-1 0,1 1 0,0 0 0,0 1 0,0-1 0,0 0 0,0 0 0,0 1 0,1-1 0,-1 1 0,1 0 0,0 0 0,0 0 0,-1 0 0,1 0 0,1 1 0,-1-1 0,0 1 0,0 0 0,0 0 0,1 0 0,3 0 0,10-2 0,0 2 0,0 0 0,-1 1 0,32 4 0,-12-1 0,-33-3 0,1 0 0,-1 1 0,0-1 0,0 1 0,0 0 0,0 0 0,0 0 0,0 0 0,0 1 0,0-1 0,0 1 0,0 0 0,-1 0 0,1 0 0,-1 0 0,1 0 0,-1 0 0,0 1 0,0-1 0,0 1 0,0 0 0,-1-1 0,1 1 0,-1 0 0,1 0 0,-1 0 0,0 0 0,0 0 0,0 0 0,-1 1 0,1-1 0,-1 0 0,0 5 0,1-1 0,-1-1 0,0 1 0,0 0 0,-1 0 0,0 0 0,0 0 0,-1 0 0,1-1 0,-2 1 0,1-1 0,-1 1 0,0-1 0,0 0 0,0 0 0,-6 6 0,-2 0 0,-1-1 0,-1 0 0,0-1 0,-15 9 0,16-12 0,1 1 0,-1 0 0,2 1 0,-1 1 0,1-1 0,-12 16 0,21-23 0,0-1 0,0 1 0,0-1 0,0 1 0,0 0 0,0 0 0,0-1 0,0 1 0,1 0 0,-1 0 0,1 0 0,-1 0 0,1 0 0,0 0 0,0 0 0,0 0 0,0-1 0,0 1 0,0 0 0,0 0 0,1 0 0,-1 0 0,1 0 0,0 0 0,-1 0 0,1-1 0,0 1 0,0 0 0,0-1 0,0 1 0,0 0 0,0-1 0,1 1 0,-1-1 0,1 0 0,-1 1 0,1-1 0,-1 0 0,2 1 0,9 5 0,-1-1 0,1 0 0,0 0 0,23 6 0,-13-4 0,90 34-1365,-92-35-5461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8:43.085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964 80 24575,'-15'-16'0,"11"11"0,0 0 0,0 1 0,-1-1 0,0 1 0,0 0 0,0 0 0,0 1 0,-1-1 0,0 1 0,1 0 0,-1 1 0,0 0 0,-9-3 0,-19 0 0,-1 2 0,0 1 0,-70 5 0,21-1 0,59-2 0,-1 2 0,-40 6 0,54-6 0,0 2 0,1-1 0,0 1 0,0 1 0,0 0 0,1 1 0,-19 12 0,1 4 0,2 0 0,1 2 0,0 0 0,2 2 0,-24 34 0,19-19 0,2 1 0,2 1 0,-20 48 0,32-59 0,2 0 0,1 1 0,1 0 0,2 0 0,1 1 0,2-1 0,2 63 0,1-67 0,1 0 0,6 33 0,-5-51 0,1-1 0,0 0 0,0 1 0,1-1 0,1-1 0,-1 1 0,2-1 0,-1 0 0,10 11 0,9 11 0,2-2 0,1-1 0,1-1 0,49 36 0,-45-43 0,1-1 0,2-1 0,43 15 0,113 30 0,-152-51 0,122 28 0,-85-24 0,-1 0 0,0-4 0,0-4 0,1-2 0,120-8 0,-182 0 0,0 0 0,0-1 0,0-1 0,-1 0 0,1-1 0,-1 0 0,0-1 0,15-10 0,-8 4 0,0-1 0,-1-1 0,-1-1 0,20-20 0,-25 20 0,0-1 0,-1-1 0,-1 0 0,-1 0 0,0-1 0,-1 0 0,-1-1 0,-1 0 0,-1 0 0,0-1 0,2-22 0,1-15 0,-2-1 0,-2-92 0,-6 125 0,-2 0 0,0 0 0,-2 0 0,0 1 0,-2 0 0,0 0 0,-21-43 0,11 34 0,-1 1 0,-1 1 0,-2 1 0,-44-51 0,36 51 0,-1 2 0,-1 1 0,-2 2 0,0 0 0,-71-36 0,44 32 0,-1 2 0,-124-34 0,110 44-430,-126-10 0,181 25-75,1 0-6321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8:47.029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13 24575,'2'0'0,"14"0"0,11 0 0,14 0 0,9 0 0,4 0 0,-4 0 0,-4 0 0,-10-2 0,-8-1 0,-6 0 0,-5 0 0,-5 1-8191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8:47.406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6 24575,'2'0'0,"4"0"0,8 0 0,12 0 0,11 0 0,11 0 0,1 0 0,2 0 0,1 0 0,1 0 0,-5 0 0,-8 0 0,-10-2 0,-11-1-8191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38:49.532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0 1156 24575,'1'-2'0,"1"0"0,-1 0 0,1 0 0,0 0 0,-1 1 0,1-1 0,0 1 0,0-1 0,3-1 0,4-4 0,54-60 0,-40 41 0,46-41 0,21-8 0,123-94 0,-28 41 0,70-52 0,-232 163-119,-3 3-88,0 0-1,-1-2 0,-1 0 0,0-1 1,29-37-1,-39 42-6618</inkml:trace>
  <inkml:trace contextRef="#ctx0" brushRef="#br0" timeOffset="805.63">569 17 24575,'1'-1'0,"-1"0"0,1 1 0,0-1 0,0 0 0,0 1 0,-1-1 0,1 1 0,0-1 0,0 1 0,0-1 0,0 1 0,0-1 0,0 1 0,0 0 0,0 0 0,0-1 0,0 1 0,0 0 0,0 0 0,0 0 0,0 0 0,2 1 0,0-2 0,367-7 0,-234 10 0,-77-3 0,64 3 0,-121-1 0,0-1 0,0 0 0,0 1 0,0-1 0,-1 1 0,1 0 0,0 0 0,0-1 0,-1 1 0,1 0 0,0 1 0,-1-1 0,1 0 0,-1 0 0,1 1 0,-1-1 0,0 1 0,0-1 0,0 1 0,0-1 0,0 1 0,0 0 0,0-1 0,0 1 0,0 0 0,-1 0 0,1 0 0,-1 0 0,1 0 0,-1 0 0,0 3 0,1 7 0,-1 0 0,0 0 0,-1-1 0,-3 14 0,3-10 0,-4 14 8,-1 0 0,-1-1 0,-1 1 0,-1-2-1,-15 31 1,-76 127-264,47-91-900,39-69-5670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40:43.973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1 382 24575,'7'-1'0,"0"0"0,0 0 0,-1 0 0,1-1 0,9-3 0,17-4 0,227-31 0,335-9 0,1019 26 0,-1566 23 0,0-1 0,0-2 0,-1-2 0,71-18 0,-113 22-170,-1 0-1,1-1 0,-1 0 1,1 0-1,-1 0 0,0 0 1,5-4-1,0-3-6655</inkml:trace>
  <inkml:trace contextRef="#ctx0" brushRef="#br0" timeOffset="1753.17">2964 192 24575,'8'-5'0,"0"-1"0,0 0 0,-1-1 0,0 1 0,0-1 0,9-13 0,2-1 0,8-9 0,-19 20 0,1 1 0,-1-1 0,2 2 0,-1-1 0,1 1 0,1 1 0,20-14 0,-29 21 0,0 0 0,0-1 0,0 1 0,0 0 0,0 0 0,1-1 0,-1 1 0,0 0 0,0 0 0,0 0 0,0 0 0,0 1 0,1-1 0,-1 0 0,0 0 0,0 1 0,0-1 0,0 1 0,0-1 0,0 1 0,0-1 0,0 1 0,0 0 0,0-1 0,0 1 0,0 0 0,0 0 0,-1-1 0,1 1 0,0 0 0,-1 0 0,1 0 0,0 0 0,-1 0 0,1 0 0,-1 0 0,0 1 0,1-1 0,-1 1 0,4 8 0,-2 0 0,0-1 0,2 18 0,-2-15 0,1 6 0,0 8 0,2 0 0,1-1 0,11 33 0,-16-56 0,-1-1 0,1 1 0,0-1 0,0 1 0,0-1 0,0 0 0,0 1 0,0-1 0,0 0 0,0 0 0,0 0 0,1 0 0,-1 0 0,0 0 0,1 0 0,-1 0 0,1 0 0,-1-1 0,1 1 0,-1 0 0,1-1 0,1 1 0,1-1 0,-1 0 0,1 0 0,-1 0 0,1 0 0,-1-1 0,1 1 0,-1-1 0,1 0 0,-1 0 0,4-1 0,7-5 0,1 0 0,-2-1 0,21-15 0,-30 20 0,83-61 0,-27 19 0,87-50 0,-145 93 0,0 1 0,0 0 0,0 0 0,0 0 0,0 0 0,1 0 0,-1 1 0,0-1 0,0 1 0,1-1 0,-1 1 0,1 0 0,-1 0 0,0 0 0,1 0 0,-1 1 0,1-1 0,3 1 0,-4 0 0,0 1 0,-1-1 0,1 0 0,0 0 0,0 1 0,-1-1 0,1 1 0,-1 0 0,1-1 0,-1 1 0,1 0 0,-1 0 0,0 0 0,0 0 0,0 0 0,1 2 0,1 9 0,1 1 0,-2-1 0,0 0 0,0 1 0,-1 15 0,0-25 0,-1 21 0,0-13 0,0 0 0,1 0 0,0 0 0,0-1 0,2 1 0,-1 0 0,1-1 0,1 1 0,6 12 0,-9-22 0,-1-1 0,1 0 0,0 0 0,0 1 0,0-1 0,0 0 0,0 0 0,0 0 0,0 0 0,1 0 0,-1 0 0,0-1 0,0 1 0,1 0 0,-1-1 0,1 1 0,-1-1 0,0 1 0,1-1 0,-1 1 0,1-1 0,-1 0 0,3 0 0,-1 0 0,0-1 0,0 1 0,0-1 0,0 0 0,0 0 0,0 0 0,0 0 0,0-1 0,0 1 0,4-4 0,6-5 0,0-1 0,-1 0 0,16-18 0,-22 22 0,46-53 0,-31 35 0,0 0 0,47-40 0,-67 64 0,0 0 0,0 0 0,1 0 0,-1 0 0,0 0 0,1 0 0,-1 1 0,1-1 0,-1 1 0,1-1 0,-1 1 0,1-1 0,-1 1 0,1 0 0,-1 0 0,3-1 0,-3 2 0,0-1 0,0 0 0,0 1 0,0-1 0,-1 0 0,1 1 0,0-1 0,0 1 0,0-1 0,-1 1 0,1 0 0,0-1 0,-1 1 0,1 0 0,0-1 0,-1 1 0,1 0 0,-1 0 0,1 0 0,0 1 0,1 5 0,0 0 0,0 0 0,0 0 0,-1 1 0,1 10 0,-1-11 0,5 44 0,-1 2 0,21 91 0,-26-142 0,1 0 0,0 0 0,-1 0 0,1 0 0,0 0 0,0 0 0,0-1 0,0 1 0,0 0 0,1 0 0,-1-1 0,1 1 0,-1-1 0,1 1 0,-1-1 0,1 0 0,0 0 0,0 1 0,-1-1 0,1 0 0,0-1 0,0 1 0,0 0 0,0 0 0,0-1 0,0 1 0,1-1 0,-1 0 0,0 0 0,0 0 0,0 0 0,0 0 0,0 0 0,0 0 0,0-1 0,1 1 0,-1-1 0,0 1 0,3-2 0,8-3 0,1-1 0,-1 0 0,0-1 0,18-11 0,-23 13 0,-1 0 0,0 0 0,1 0 0,-2-1 0,1 0 0,-1 0 0,0-1 0,0 0 0,0 0 0,-1 0 0,0-1 0,-1 1 0,0-1 0,0 0 0,0-1 0,-1 1 0,-1 0 0,3-14 0,-2 12-227,0 0-1,0 0 1,1 0-1,0 1 1,11-19-1,-7 16-6598</inkml:trace>
  <inkml:trace contextRef="#ctx0" brushRef="#br0" timeOffset="2735.92">4468 133 24575,'4'1'0,"-1"-1"0,1 1 0,0 0 0,-1 0 0,1 1 0,-1-1 0,6 3 0,22 7 0,42-4 0,0-2 0,75-7 0,-48 0 0,2355 1 0,-2435 2 0,0-1 0,-1-2 0,1 0 0,-1 0 0,0-2 0,0-1 0,0 0 0,0-1 0,-1-1 0,33-18 0,7-8-1365,-47 27-5461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4:40:52.271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73 103 24575,'8'0'0,"7"0"0,13 0 0,20 0 0,18 0 0,11 0 0,8-2 0,1-2 0,-7-1 0,-9-1 0,-14 1 0,-11 2 0,-14 0-8191</inkml:trace>
  <inkml:trace contextRef="#ctx0" brushRef="#br0" timeOffset="395.1">0 571 24575,'24'0'0,"52"0"0,148-17 0,171-41 0,-382 56-195,1-1 0,-1-1 0,0 0 0,0 0 0,-1-1 0,18-10 0,-12 6-6631</inkml:trace>
  <inkml:trace contextRef="#ctx0" brushRef="#br0" timeOffset="1132.55">569 1 24575,'21'0'0,"0"0"0,0 2 0,0 0 0,0 2 0,-1 0 0,29 10 0,-45-13 0,10 4 0,1 0 0,-1 1 0,-1 1 0,21 12 0,-31-16 0,1-1 0,-1 1 0,0-1 0,-1 1 0,1 0 0,0 0 0,-1 0 0,0 1 0,0-1 0,0 1 0,0-1 0,0 1 0,0-1 0,-1 1 0,0 0 0,0 0 0,0 0 0,0 0 0,-1 0 0,1 0 0,-1 0 0,-1 6 0,1-7 0,-1 1 0,0 0 0,0 0 0,0-1 0,-1 1 0,1-1 0,-1 1 0,0-1 0,0 0 0,0 0 0,0 0 0,-1 0 0,1 0 0,-1 0 0,0-1 0,-3 3 0,-8 6 0,0 0 0,-20 9 0,21-12 0,-153 79 125,7-5-1615,146-74-5336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5:02:09.520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0 0 24575,'0'0'-8191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5:02:19.889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690 3359 24575,'-5'7'0,"-7"10"0,-8 8 0,-9 6 0,-1 3 0,1-2 0,4-1 0,3-3 0,3-7 0,0-7 0,0-6 0,2-4 0,0-3 0,4-1-8191</inkml:trace>
  <inkml:trace contextRef="#ctx0" brushRef="#br0" timeOffset="1693.61">296 3300 24575,'9'0'0,"-1"0"0,1 0 0,-1 1 0,1 0 0,8 3 0,-14-3 0,1 0 0,-1 1 0,0 0 0,0 0 0,0 0 0,0 0 0,0 0 0,0 0 0,0 1 0,-1 0 0,1-1 0,-1 1 0,0 0 0,3 4 0,74 127 0,-46-76 0,61 84 0,-92-139 0,0-1 0,0 0 0,-1 0 0,1 0 0,1 0 0,-1 0 0,0 0 0,0 0 0,1-1 0,-1 1 0,1-1 0,-1 0 0,1 0 0,0 0 0,-1 0 0,1 0 0,0 0 0,0-1 0,-1 1 0,1-1 0,0 0 0,0 0 0,0 0 0,5-1 0,-4 0 0,0 0 0,-1-1 0,1 0 0,0 0 0,-1 0 0,1 0 0,-1 0 0,0-1 0,0 1 0,0-1 0,0 0 0,0 0 0,-1 0 0,1 0 0,-1-1 0,0 1 0,3-6 0,25-56 0,-2-1 0,-4-2 0,22-95 0,-43 149-1365,0 2-5461</inkml:trace>
  <inkml:trace contextRef="#ctx0" brushRef="#br0" timeOffset="2757.3">427 3256 24575,'15'17'0,"-2"1"0,0 1 0,19 36 0,-10-15 0,9 19 0,-25-44 0,1 0 0,1-1 0,0 0 0,1-1 0,20 25 0,-25-35 0,0 0 0,0 0 0,1-1 0,-1 0 0,0 1 0,1-2 0,0 1 0,-1 0 0,1-1 0,0 0 0,0 0 0,0 0 0,0-1 0,-1 1 0,1-1 0,7-1 0,-6 1 0,0-1 0,1 0 0,-1 0 0,0 0 0,1-1 0,-1 0 0,0 0 0,0 0 0,0-1 0,-1 0 0,1 0 0,5-5 0,7-9 19,-1-2 1,-1 0-1,0-1 0,-1-1 0,20-39 0,31-41-1499,-55 87-5346</inkml:trace>
  <inkml:trace contextRef="#ctx0" brushRef="#br0" timeOffset="-1.75878E6">413 439 24575,'-5'0'0,"-7"0"0,-6 0 0,-2 0 0,-3 0 0,-1 0 0,3 0 0,-2 0 0,2 0 0,-1 0 0,-1 0 0,0 0 0,2 0 0,1 0 0,3 0 0,1 2 0,3 1-8191</inkml:trace>
  <inkml:trace contextRef="#ctx0" brushRef="#br0" timeOffset="-1.75683E6">704 497 24575,'1'-5'0,"-1"0"0,0 0 0,-1 1 0,1-1 0,-1 0 0,0 0 0,0 0 0,-1 0 0,0 1 0,1-1 0,-4-4 0,3 6 0,0 1 0,0 0 0,0 0 0,0 0 0,0 0 0,-1 0 0,1 0 0,-1 1 0,1-1 0,-1 1 0,0 0 0,0 0 0,1 0 0,-1 0 0,0 0 0,0 1 0,0-1 0,0 1 0,-5-1 0,6 1 0,-60-2 0,57 2 0,0 0 0,1 0 0,-1 1 0,0 0 0,0 0 0,0 0 0,1 0 0,-1 1 0,0 0 0,-4 2 0,7-1 0,0-1 0,0 0 0,0 1 0,0-1 0,1 1 0,-1 0 0,1-1 0,-1 1 0,1 0 0,0 0 0,0 0 0,1 0 0,-1 0 0,1 0 0,-1 0 0,1 0 0,0 0 0,0 0 0,0 0 0,0 1 0,2 3 0,-1 0 0,0-1 0,0 0 0,0 0 0,1 0 0,0 0 0,0-1 0,1 1 0,-1 0 0,8 9 0,-4-9 0,1 0 0,0-1 0,1 0 0,-1 0 0,1 0 0,0-1 0,0 0 0,13 4 0,27 14 0,-29-13 0,-12-7 0,-1 1 0,0 0 0,0 0 0,0 1 0,7 5 0,-12-9 0,0 1 0,-1-1 0,1 1 0,-1 0 0,1-1 0,-1 1 0,1 0 0,-1-1 0,1 1 0,-1 0 0,0 0 0,1-1 0,-1 1 0,0 0 0,0 0 0,1 0 0,-1-1 0,0 1 0,0 0 0,0 1 0,-1-1 0,1 0 0,-1 1 0,1-1 0,-1 0 0,1 0 0,-1 1 0,0-1 0,0 0 0,1 0 0,-1 0 0,0 0 0,0 0 0,0 0 0,0 0 0,0-1 0,-2 2 0,-5 2 0,0 0 0,-1 0 0,1-1 0,0 0 0,-1-1 0,0 0 0,0 0 0,1-1 0,-1 0 0,0 0 0,-13-2 0,8 1 0,0 1 0,1 0 0,-1 1 0,-15 4 0,-5 4-455,1-2 0,-42 4 0,59-10-6371</inkml:trace>
  <inkml:trace contextRef="#ctx0" brushRef="#br0" timeOffset="-1.75399E6">311 1972 24575,'-1'-2'0,"1"0"0,0 0 0,-1-1 0,1 1 0,-1 0 0,0 0 0,0 1 0,0-1 0,0 0 0,0 0 0,0 0 0,0 0 0,0 1 0,-1-1 0,1 1 0,-1-1 0,1 1 0,-1-1 0,0 1 0,0 0 0,1 0 0,-1 0 0,0 0 0,0 0 0,0 0 0,0 0 0,0 1 0,0-1 0,0 1 0,0 0 0,0-1 0,-4 1 0,-11-2 0,1 1 0,-1 1 0,-20 1 0,15 0 0,13-1 0,-1 0 0,0 0 0,0 1 0,1 0 0,-1 0 0,-10 4 0,18-5 0,1 1 0,-1-1 0,1 1 0,-1-1 0,1 1 0,-1 0 0,1 0 0,-1 0 0,1 0 0,0 0 0,-1 0 0,1 0 0,0 0 0,0 1 0,0-1 0,0 0 0,0 1 0,0-1 0,0 1 0,1-1 0,-1 1 0,0-1 0,1 1 0,-1-1 0,1 1 0,0 0 0,-1-1 0,1 1 0,0 0 0,0-1 0,0 1 0,0 0 0,1-1 0,-1 1 0,0 0 0,1-1 0,0 2 0,0 0 0,0 0 0,0 0 0,0 0 0,1-1 0,0 1 0,-1-1 0,1 1 0,0-1 0,0 0 0,0 0 0,0 0 0,1 0 0,-1 0 0,1 0 0,-1 0 0,1-1 0,-1 0 0,5 2 0,8 4 0,1-2 0,20 5 0,-5-1 0,-20-6 0,-1 1 0,1 0 0,-1 1 0,0 0 0,15 11 0,-22-13 0,0-1 0,0 1 0,0 0 0,-1 0 0,1 0 0,-1 0 0,1 0 0,-1 0 0,0 1 0,-1-1 0,1 1 0,0-1 0,-1 1 0,0 0 0,0 0 0,0 0 0,0-1 0,-1 1 0,1 5 0,-1 6 0,1-7 0,-1 1 0,0 0 0,-1 0 0,-2 14 0,3-21 0,-1 0 0,1 0 0,-1 0 0,0 0 0,1-1 0,-1 1 0,0 0 0,0 0 0,0-1 0,-1 1 0,1-1 0,0 1 0,-1-1 0,1 1 0,-1-1 0,1 0 0,-1 0 0,1 0 0,-1 0 0,0 0 0,0 0 0,0 0 0,1 0 0,-1-1 0,-3 2 0,-132 13 0,13 1-1365</inkml:trace>
  <inkml:trace contextRef="#ctx0" brushRef="#br0" timeOffset="-1.73231E6">4690 1 24575,'633'0'0,"-628"0"0,21 1 0,-25 3 0,-13 4 0,-17 6 0,1 1 0,0 2 0,1 1 0,-25 22 0,-95 93 0,75-64 0,71-68 0,-1 0 0,1 0 0,-1 1 0,1-1 0,0 0 0,0 1 0,0-1 0,-1 1 0,1 0 0,1-1 0,-1 1 0,0 0 0,0 0 0,0 2 0,1-3 0,0 0 0,1 0 0,-1 0 0,1 0 0,-1 0 0,1 0 0,-1 0 0,1 0 0,0 0 0,-1 0 0,1 0 0,0-1 0,0 1 0,-1 0 0,1-1 0,0 1 0,0 0 0,0-1 0,0 1 0,0-1 0,0 1 0,0-1 0,0 0 0,0 1 0,0-1 0,0 0 0,2 0 0,29 8 0,1-2 0,0-2 0,0-1 0,0-1 0,52-5 0,-20 2 0,87 0-1365,-118 0-5461</inkml:trace>
  <inkml:trace contextRef="#ctx0" brushRef="#br0" timeOffset="-1.73152E6">5697 176 24575,'-1'82'0,"2"91"0,-1-170 0,0-1 0,0 1 0,0 0 0,1 0 0,-1-1 0,1 1 0,0 0 0,-1 0 0,1-1 0,1 1 0,-1-1 0,0 1 0,0-1 0,1 0 0,0 1 0,-1-1 0,1 0 0,0 0 0,0 0 0,0 0 0,0 0 0,0-1 0,1 1 0,2 1 0,2 0 0,0-1 0,0-1 0,0 1 0,0-1 0,0 0 0,0-1 0,1 1 0,8-2 0,18 2 0,-23 0 0,-1-1 0,1 0 0,-1 0 0,1-1 0,-1-1 0,1 1 0,15-6 0,-25 7-2,-1 0-1,1 0 0,-1-1 1,1 1-1,-1 0 1,1 0-1,-1-1 1,1 1-1,-1 0 0,1-1 1,-1 1-1,1 0 1,-1-1-1,0 1 0,1-1 1,-1 1-1,0-1 1,1 1-1,-1 0 0,0-1 1,0 0-1,1 1 1,-1-1-1,0 1 0,0-1 1,0 1-1,0-1 1,0 1-1,0-1 1,1 0-1,-13-12 203,-23-4-1685,18 12-5341</inkml:trace>
  <inkml:trace contextRef="#ctx0" brushRef="#br0" timeOffset="-1.73115E6">5580 337 24575,'5'0'0,"12"-3"0,7-3 0,10 0 0,12-5 0,5-2 0,-1 0 0,1 1 0,2 2 0,-1 2 0,-7 3 0,-8 3 0,-11 1-8191</inkml:trace>
  <inkml:trace contextRef="#ctx0" brushRef="#br0" timeOffset="5077.11">1347 1913 24575,'-238'0'0,"234"0"0,-1 1 0,1-1 0,-1 1 0,1 0 0,-1 0 0,1 1 0,0-1 0,-1 1 0,1 0 0,0 0 0,0 1 0,0-1 0,1 1 0,-1-1 0,-6 8 0,-2 2 0,1 1 0,-18 29 0,13-19 0,5-6 0,0-1 0,2 2 0,0-1 0,1 1 0,0 1 0,2-1 0,-6 27 0,6-12 0,1 2 0,2-1 0,1 46 0,2-48 0,0-12 0,0 0 0,1 1 0,7 32 0,-6-46 0,0 1 0,1-1 0,-1 0 0,2 0 0,-1-1 0,1 1 0,0-1 0,0 0 0,1 0 0,0 0 0,0 0 0,0-1 0,10 8 0,-6-7 0,0 0 0,1 0 0,0-1 0,0 0 0,0-1 0,20 6 0,71 12 0,-44-12 0,-24-4 0,1-1 0,0-2 0,-1-1 0,62-5 0,-89 3 0,0-1 0,0 0 0,0 0 0,0-1 0,0 0 0,-1 0 0,1 0 0,-1-1 0,1 1 0,-1-1 0,0 0 0,0-1 0,0 1 0,0-1 0,-1 0 0,0-1 0,0 1 0,0-1 0,0 1 0,6-11 0,-5 4 0,0 0 0,-1 0 0,0 0 0,-1 0 0,0-1 0,-1 0 0,0 1 0,0-1 0,-2-22 0,0-14 0,-3 0 0,-2 0 0,-11-49 0,6 49-1365,6 38-5461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5:02:12.887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585 326 24575,'16'-16'0,"21"-21"0,-2-1 0,-1-2 0,32-49 0,-65 87 0,13-16 0,-6 16 0,-3 13 0,-2 15 0,-1-1 0,-1 1 0,-1 0 0,-2 0 0,-6 35 0,1 1 0,6-37 0,-1 0 0,-2 0 0,0-1 0,-2 0 0,0 0 0,-17 40 0,21-61-76,1-1 1,-1 0-1,0 0 0,0 0 0,0 0 0,0 0 0,0 0 0,0 0 1,-1-1-1,1 1 0,-1-1 0,1 0 0,-1 0 0,1 1 1,-1-2-1,1 1 0,-4 1 0,-11 1-6750</inkml:trace>
  <inkml:trace contextRef="#ctx0" brushRef="#br0" timeOffset="566.48">468 589 24575,'1'2'0,"1"0"0,0-1 0,-1 1 0,1 0 0,0-1 0,0 0 0,0 1 0,0-1 0,1 0 0,-1 0 0,0 0 0,0 0 0,1-1 0,-1 1 0,4 0 0,25 5 0,1-2 0,0-1 0,-1-2 0,53-3 0,-18 0 0,119 1-1365,-172 1-5461</inkml:trace>
  <inkml:trace contextRef="#ctx0" brushRef="#br0" timeOffset="926.54">1110 487 24575,'3'0'0,"0"-3"0,0-2 0,5-4 0,0-1-8191</inkml:trace>
  <inkml:trace contextRef="#ctx0" brushRef="#br0" timeOffset="1491.83">1343 78 24575,'0'5'0,"0"4"0,0 8 0,0 4 0,0 5 0,0 4 0,0 1 0,0 1 0,0 2 0,0-2 0,0-2 0,0-3 0,0-4 0,0-3 0,0-6-8191</inkml:trace>
  <inkml:trace contextRef="#ctx0" brushRef="#br0" timeOffset="2274.66">1314 151 24575,'0'-8'0,"0"-1"0,1 0 0,-1 1 0,1-1 0,1 1 0,3-11 0,-4 15 0,1 1 0,0-1 0,0 0 0,1 1 0,-1 0 0,1-1 0,0 1 0,-1 0 0,1 0 0,1 1 0,-1-1 0,0 1 0,1-1 0,-1 1 0,5-2 0,3-1 0,0-1 0,1 2 0,18-6 0,-25 8 0,0 1 0,0 0 0,0 1 0,-1-1 0,1 1 0,0-1 0,0 2 0,0-1 0,0 0 0,0 1 0,-1 0 0,7 2 0,-11-3 0,1 0 0,-1 0 0,1 0 0,-1 1 0,1-1 0,-1 0 0,1 0 0,-1 1 0,1-1 0,-1 0 0,0 1 0,1-1 0,-1 0 0,1 1 0,-1-1 0,0 1 0,0-1 0,1 1 0,-1-1 0,0 1 0,1-1 0,-1 1 0,0-1 0,0 1 0,0-1 0,0 1 0,0-1 0,0 1 0,1-1 0,-1 1 0,0-1 0,-1 1 0,1-1 0,0 1 0,0 0 0,0-1 0,0 1 0,0-1 0,0 1 0,-1-1 0,1 1 0,0-1 0,0 1 0,-1-1 0,1 1 0,0-1 0,-1 0 0,1 1 0,0-1 0,-1 1 0,1-1 0,-1 0 0,1 1 0,-1-1 0,1 0 0,-1 0 0,0 1 0,-31 20 0,29-19 0,-41 18 0,35-17 0,0 0 0,1 1 0,-1 0 0,1 1 0,0 0 0,0 0 0,1 0 0,0 1 0,-13 12 0,20-17-3,-1 0 1,1-1-1,0 1 0,-1 0 0,1-1 0,-1 1 0,1 0 0,0 0 0,0-1 1,0 1-1,-1 0 0,1 0 0,0-1 0,0 1 0,0 0 0,0 0 1,0 0-1,0-1 0,0 1 0,1 0 0,-1 0 0,0-1 0,0 1 1,1 0-1,-1 0 0,0-1 0,1 2 0,1 0 23,0 0 0,-1 0 0,1 0 0,0-1 0,0 1 0,0-1 0,0 1 0,0-1 0,3 1-1,4 3-390,1-1 0,0-1 0,13 4 0,3-2-6455</inkml:trace>
  <inkml:trace contextRef="#ctx0" brushRef="#br0" timeOffset="3005.99">1650 166 24575,'0'13'0,"0"1"0,1-1 0,0 1 0,2-1 0,4 22 0,-6-32 0,0 0 0,1 0 0,-1 0 0,0 0 0,1 0 0,0 0 0,0-1 0,0 1 0,0 0 0,0-1 0,0 0 0,1 1 0,-1-1 0,1 0 0,-1 0 0,1 0 0,0-1 0,0 1 0,0-1 0,0 1 0,0-1 0,0 0 0,0 0 0,0-1 0,0 1 0,1 0 0,-1-1 0,0 0 0,1 0 0,5 0 0,-7-1 0,1 1 0,-1-1 0,1 1 0,-1-1 0,1 0 0,-1 0 0,0 0 0,0 0 0,1-1 0,-1 1 0,0-1 0,0 1 0,0-1 0,0 0 0,0 1 0,-1-1 0,1 0 0,0 0 0,-1-1 0,0 1 0,1 0 0,-1 0 0,0-1 0,0 1 0,0 0 0,-1-1 0,1 1 0,0-1 0,-1 1 0,1-4 0,1-11 0,-1 1 0,0-1 0,-2-25 0,0 27 0,-1-24-1365,2 24-5461</inkml:trace>
  <inkml:trace contextRef="#ctx0" brushRef="#br0" timeOffset="19171.77">30 837 24575,'0'0'0,"0"1"0,0-1 0,0 0 0,0 0 0,0 0 0,0 0 0,0 0 0,0 0 0,0 0 0,0 0 0,0 1 0,0-1 0,0 0 0,0 0 0,0 0 0,0 0 0,0 0 0,0 0 0,0 0 0,0 1 0,0-1 0,0 0 0,0 0 0,0 0 0,0 0 0,0 0 0,0 0 0,0 0 0,0 0 0,0 1 0,0-1 0,-1 0 0,1 0 0,0 0 0,0 0 0,0 0 0,0 0 0,0 0 0,0 0 0,0 0 0,0 0 0,0 0 0,-1 0 0,15 5 0,5-3 0,1-1 0,0-1 0,-1-1 0,1 0 0,28-7 0,100-30 0,-98 24 0,238-75 0,-21 5 0,-173 57 0,106-28 0,-184 51 0,-40 8 0,-17 5-1365,-3 1-5461</inkml:trace>
  <inkml:trace contextRef="#ctx0" brushRef="#br0" timeOffset="19602.75">1 1041 24575,'0'1'0,"0"0"0,1-1 0,-1 1 0,1-1 0,-1 1 0,1-1 0,-1 1 0,1-1 0,-1 1 0,1-1 0,-1 1 0,1-1 0,0 0 0,-1 1 0,1-1 0,0 0 0,-1 0 0,1 1 0,0-1 0,-1 0 0,1 0 0,0 0 0,-1 0 0,2 0 0,23 3 0,-21-3 0,123 5 0,-1-6 0,0-5 0,0-5 0,-1-6 0,-1-6 0,182-57 0,-214 50 46,48-14-1457,-106 36-5415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5:02:36.949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745 2983 24575,'8'0'0,"12"0"0,7 0 0,12 0 0,7 0 0,3 0 0,-2 0 0,-2 0 0,-5 0 0,-8 0 0,-4 0 0,-4 0 0,-2-5 0,-1-4 0,-5-3 0,-5-5 0,-4 1-8191</inkml:trace>
  <inkml:trace contextRef="#ctx0" brushRef="#br0" timeOffset="1061.45">1 998 24575,'0'1'0,"0"1"0,0-1 0,1 1 0,-1 0 0,0-1 0,1 1 0,0-1 0,-1 1 0,1-1 0,0 1 0,0-1 0,0 1 0,0-1 0,0 0 0,0 0 0,0 1 0,0-1 0,0 0 0,1 0 0,-1 0 0,0 0 0,1 0 0,-1-1 0,1 1 0,-1 0 0,3 0 0,5 2 0,0 0 0,1 0 0,13 1 0,-12-2 0,61 9 0,98 3 0,76-13 0,-146-1 0,494-2-1365,-567 2-5461</inkml:trace>
  <inkml:trace contextRef="#ctx0" brushRef="#br0" timeOffset="6808.48">3504 63 24575,'-6'-4'0,"0"0"0,0 0 0,-1 1 0,1 0 0,-1 0 0,0 1 0,0-1 0,0 2 0,-12-3 0,-4-1 0,-13-4 0,0 3 0,-1 0 0,-52 0 0,-111 12 0,175-4 0,0 2 0,0 0 0,1 2 0,0 1 0,0 1 0,0 0 0,-24 14 0,13-3 0,0 2 0,1 1 0,-50 42 0,72-53 0,2 0 0,-1 0 0,1 1 0,1 0 0,1 1 0,-1 0 0,2 0 0,-8 20 0,-4 14 0,-13 57 0,26-85 0,-4 27 0,2 1 0,2 0 0,1 0 0,3 0 0,6 71 0,-3-109 0,0 0 0,0 0 0,0-1 0,1 1 0,1-1 0,-1 1 0,2-1 0,-1 0 0,1 0 0,0 0 0,10 14 0,-7-13 0,1-1 0,0 0 0,1 0 0,0-1 0,0 0 0,0 0 0,1-1 0,19 9 0,18 5 0,0-2 0,0-2 0,2-2 0,0-2 0,0-3 0,57 4 0,301-3 0,-407-10 0,15 0-119,-1 0 203,0 0 0,21-4 1,-33 4-143,0 0 0,0 0 1,0-1-1,0 1 1,-1 0-1,1-1 0,0 0 1,0 0-1,0 1 0,-1-1 1,1 0-1,0 0 0,-1-1 1,1 1-1,-1 0 0,1 0 1,-1-1-1,1 1 0,-1-1 1,0 1-1,0-1 1,0 0-1,0 1 0,0-1 1,1-2-1,-1-6-6768</inkml:trace>
  <inkml:trace contextRef="#ctx0" brushRef="#br0" timeOffset="8400.04">6015 589 24575,'-2'2'0,"1"4"0,3 3 0,7 0 0,9-1 0,7-3 0,5 1 0,7-1 0,3-1 0,3-1 0,-4-2 0,-5 0 0,-12-1 0,-17-2 0,-11-4 0,-5-1-8191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58"/>
  <sheetViews>
    <sheetView topLeftCell="D65" zoomScale="115" zoomScaleNormal="115" workbookViewId="0">
      <selection activeCell="M83" sqref="M83"/>
    </sheetView>
  </sheetViews>
  <sheetFormatPr defaultColWidth="9.109375" defaultRowHeight="13.8" x14ac:dyDescent="0.25"/>
  <cols>
    <col min="1" max="2" width="9.109375" style="1"/>
    <col min="3" max="3" width="30" style="1" customWidth="1"/>
    <col min="4" max="4" width="53" style="1" customWidth="1"/>
    <col min="5" max="5" width="21" style="1" customWidth="1"/>
    <col min="6" max="6" width="16.6640625" style="1" customWidth="1"/>
    <col min="7" max="7" width="9.109375" style="1"/>
    <col min="8" max="8" width="11.88671875" style="1" customWidth="1"/>
    <col min="9" max="9" width="15.5546875" style="1" bestFit="1" customWidth="1"/>
    <col min="10" max="11" width="9.109375" style="1"/>
    <col min="12" max="12" width="15.5546875" style="1" bestFit="1" customWidth="1"/>
    <col min="13" max="13" width="13.88671875" style="1" bestFit="1" customWidth="1"/>
    <col min="14" max="16384" width="9.109375" style="1"/>
  </cols>
  <sheetData>
    <row r="1" spans="2:9" ht="14.4" thickBot="1" x14ac:dyDescent="0.3"/>
    <row r="2" spans="2:9" x14ac:dyDescent="0.25">
      <c r="B2" s="75" t="s">
        <v>0</v>
      </c>
      <c r="C2" s="76"/>
      <c r="D2" s="76"/>
      <c r="E2" s="76"/>
      <c r="F2" s="77"/>
    </row>
    <row r="3" spans="2:9" ht="14.4" thickBot="1" x14ac:dyDescent="0.3">
      <c r="B3" s="2"/>
      <c r="C3" s="3" t="s">
        <v>6</v>
      </c>
      <c r="D3" s="3" t="s">
        <v>10</v>
      </c>
      <c r="E3" s="3" t="s">
        <v>7</v>
      </c>
      <c r="F3" s="4" t="s">
        <v>12</v>
      </c>
    </row>
    <row r="4" spans="2:9" x14ac:dyDescent="0.25">
      <c r="B4" s="78" t="s">
        <v>5</v>
      </c>
      <c r="C4" s="5" t="s">
        <v>1</v>
      </c>
      <c r="D4" s="6" t="s">
        <v>2</v>
      </c>
      <c r="E4" s="7" t="s">
        <v>11</v>
      </c>
      <c r="F4" s="81">
        <f>SQRT(3)*D5*D6</f>
        <v>15242.047106606118</v>
      </c>
    </row>
    <row r="5" spans="2:9" x14ac:dyDescent="0.25">
      <c r="B5" s="79"/>
      <c r="C5" s="36" t="s">
        <v>3</v>
      </c>
      <c r="D5" s="102">
        <v>220</v>
      </c>
      <c r="E5" s="10" t="s">
        <v>8</v>
      </c>
      <c r="F5" s="82"/>
    </row>
    <row r="6" spans="2:9" x14ac:dyDescent="0.25">
      <c r="B6" s="79"/>
      <c r="C6" s="36" t="s">
        <v>4</v>
      </c>
      <c r="D6" s="102">
        <v>40</v>
      </c>
      <c r="E6" s="10" t="s">
        <v>9</v>
      </c>
      <c r="F6" s="82"/>
    </row>
    <row r="7" spans="2:9" x14ac:dyDescent="0.25">
      <c r="B7" s="79"/>
      <c r="C7" s="83"/>
      <c r="D7" s="84"/>
      <c r="E7" s="84"/>
      <c r="F7" s="85"/>
    </row>
    <row r="8" spans="2:9" x14ac:dyDescent="0.25">
      <c r="B8" s="79"/>
      <c r="C8" s="11" t="s">
        <v>16</v>
      </c>
      <c r="D8" s="12" t="s">
        <v>13</v>
      </c>
      <c r="E8" s="10" t="s">
        <v>18</v>
      </c>
      <c r="F8" s="82">
        <f>((D10*1000)^2/(D9*10^6))</f>
        <v>484</v>
      </c>
      <c r="I8" s="1">
        <v>25</v>
      </c>
    </row>
    <row r="9" spans="2:9" x14ac:dyDescent="0.25">
      <c r="B9" s="79"/>
      <c r="C9" s="36" t="s">
        <v>14</v>
      </c>
      <c r="D9" s="38">
        <v>100</v>
      </c>
      <c r="E9" s="10" t="s">
        <v>11</v>
      </c>
      <c r="F9" s="82"/>
    </row>
    <row r="10" spans="2:9" x14ac:dyDescent="0.25">
      <c r="B10" s="79"/>
      <c r="C10" s="36" t="s">
        <v>15</v>
      </c>
      <c r="D10" s="38">
        <v>220</v>
      </c>
      <c r="E10" s="10" t="s">
        <v>8</v>
      </c>
      <c r="F10" s="82"/>
    </row>
    <row r="11" spans="2:9" ht="15" customHeight="1" x14ac:dyDescent="0.25">
      <c r="B11" s="79"/>
      <c r="C11" s="83"/>
      <c r="D11" s="84"/>
      <c r="E11" s="84"/>
      <c r="F11" s="85"/>
    </row>
    <row r="12" spans="2:9" x14ac:dyDescent="0.25">
      <c r="B12" s="79"/>
      <c r="C12" s="11" t="s">
        <v>21</v>
      </c>
      <c r="D12" s="12" t="s">
        <v>17</v>
      </c>
      <c r="E12" s="10" t="s">
        <v>18</v>
      </c>
      <c r="F12" s="82">
        <f>((D14*1000)^2/(D13*10^6))</f>
        <v>3.1754264805429422</v>
      </c>
    </row>
    <row r="13" spans="2:9" x14ac:dyDescent="0.25">
      <c r="B13" s="79"/>
      <c r="C13" s="8" t="s">
        <v>19</v>
      </c>
      <c r="D13" s="10">
        <f>F4</f>
        <v>15242.047106606118</v>
      </c>
      <c r="E13" s="10" t="s">
        <v>11</v>
      </c>
      <c r="F13" s="82"/>
    </row>
    <row r="14" spans="2:9" x14ac:dyDescent="0.25">
      <c r="B14" s="79"/>
      <c r="C14" s="8" t="s">
        <v>20</v>
      </c>
      <c r="D14" s="10">
        <v>220</v>
      </c>
      <c r="E14" s="10" t="s">
        <v>8</v>
      </c>
      <c r="F14" s="82"/>
    </row>
    <row r="15" spans="2:9" x14ac:dyDescent="0.25">
      <c r="B15" s="79"/>
      <c r="C15" s="83"/>
      <c r="D15" s="84"/>
      <c r="E15" s="84"/>
      <c r="F15" s="85"/>
    </row>
    <row r="16" spans="2:9" x14ac:dyDescent="0.25">
      <c r="B16" s="79"/>
      <c r="C16" s="11" t="s">
        <v>22</v>
      </c>
      <c r="D16" s="12" t="s">
        <v>23</v>
      </c>
      <c r="E16" s="10" t="s">
        <v>36</v>
      </c>
      <c r="F16" s="82">
        <f xml:space="preserve"> (D17/D18)</f>
        <v>6.5607985135184756E-3</v>
      </c>
    </row>
    <row r="17" spans="2:12" x14ac:dyDescent="0.25">
      <c r="B17" s="79"/>
      <c r="C17" s="8" t="s">
        <v>21</v>
      </c>
      <c r="D17" s="10">
        <f>F12</f>
        <v>3.1754264805429422</v>
      </c>
      <c r="E17" s="10" t="s">
        <v>18</v>
      </c>
      <c r="F17" s="82"/>
    </row>
    <row r="18" spans="2:12" x14ac:dyDescent="0.25">
      <c r="B18" s="79"/>
      <c r="C18" s="8" t="s">
        <v>16</v>
      </c>
      <c r="D18" s="10">
        <f>F8</f>
        <v>484</v>
      </c>
      <c r="E18" s="10" t="s">
        <v>18</v>
      </c>
      <c r="F18" s="82"/>
    </row>
    <row r="19" spans="2:12" x14ac:dyDescent="0.25">
      <c r="B19" s="79"/>
      <c r="C19" s="83"/>
      <c r="D19" s="84"/>
      <c r="E19" s="84"/>
      <c r="F19" s="85"/>
    </row>
    <row r="20" spans="2:12" x14ac:dyDescent="0.25">
      <c r="B20" s="79"/>
      <c r="C20" s="83" t="s">
        <v>24</v>
      </c>
      <c r="D20" s="84"/>
      <c r="E20" s="84"/>
      <c r="F20" s="85"/>
    </row>
    <row r="21" spans="2:12" x14ac:dyDescent="0.25">
      <c r="B21" s="79"/>
      <c r="C21" s="8" t="s">
        <v>38</v>
      </c>
      <c r="D21" s="9">
        <v>10</v>
      </c>
      <c r="E21" s="8"/>
      <c r="F21" s="86"/>
    </row>
    <row r="22" spans="2:12" x14ac:dyDescent="0.25">
      <c r="B22" s="79"/>
      <c r="C22" s="8" t="s">
        <v>25</v>
      </c>
      <c r="D22" s="9" t="s">
        <v>116</v>
      </c>
      <c r="E22" s="9" t="s">
        <v>18</v>
      </c>
      <c r="F22" s="87"/>
    </row>
    <row r="23" spans="2:12" x14ac:dyDescent="0.25">
      <c r="B23" s="79"/>
      <c r="C23" s="8" t="s">
        <v>55</v>
      </c>
      <c r="D23" s="9" t="s">
        <v>117</v>
      </c>
      <c r="E23" s="9" t="s">
        <v>18</v>
      </c>
      <c r="F23" s="87"/>
    </row>
    <row r="24" spans="2:12" x14ac:dyDescent="0.25">
      <c r="B24" s="79"/>
      <c r="C24" s="8" t="s">
        <v>29</v>
      </c>
      <c r="D24" s="9">
        <f>F16/SQRT(101)</f>
        <v>6.5282385184252975E-4</v>
      </c>
      <c r="E24" s="9" t="s">
        <v>36</v>
      </c>
      <c r="F24" s="87"/>
    </row>
    <row r="25" spans="2:12" x14ac:dyDescent="0.25">
      <c r="B25" s="79"/>
      <c r="C25" s="8" t="s">
        <v>26</v>
      </c>
      <c r="D25" s="9">
        <f>D24*100</f>
        <v>6.5282385184252972E-2</v>
      </c>
      <c r="E25" s="9" t="s">
        <v>27</v>
      </c>
      <c r="F25" s="87"/>
    </row>
    <row r="26" spans="2:12" x14ac:dyDescent="0.25">
      <c r="B26" s="79"/>
      <c r="C26" s="8" t="s">
        <v>28</v>
      </c>
      <c r="D26" s="9">
        <f>(D21*D24)</f>
        <v>6.5282385184252979E-3</v>
      </c>
      <c r="E26" s="9" t="s">
        <v>36</v>
      </c>
      <c r="F26" s="87"/>
    </row>
    <row r="27" spans="2:12" x14ac:dyDescent="0.25">
      <c r="B27" s="79"/>
      <c r="C27" s="8" t="s">
        <v>25</v>
      </c>
      <c r="D27" s="9">
        <f>(D26*100)</f>
        <v>0.65282385184252978</v>
      </c>
      <c r="E27" s="9" t="s">
        <v>27</v>
      </c>
      <c r="F27" s="88"/>
    </row>
    <row r="28" spans="2:12" x14ac:dyDescent="0.25">
      <c r="B28" s="79"/>
      <c r="C28" s="83"/>
      <c r="D28" s="84"/>
      <c r="E28" s="84"/>
      <c r="F28" s="85"/>
    </row>
    <row r="29" spans="2:12" x14ac:dyDescent="0.25">
      <c r="B29" s="79"/>
      <c r="C29" s="13" t="s">
        <v>85</v>
      </c>
      <c r="D29" s="14" t="str">
        <f>COMPLEX(D24,D26)</f>
        <v>0.00065282385184253+0.0065282385184253i</v>
      </c>
      <c r="E29" s="15" t="s">
        <v>36</v>
      </c>
      <c r="F29" s="16"/>
    </row>
    <row r="30" spans="2:12" x14ac:dyDescent="0.25">
      <c r="B30" s="80"/>
      <c r="C30" s="42" t="s">
        <v>60</v>
      </c>
      <c r="D30" s="14" t="str">
        <f>COMPLEX(D24,D26)</f>
        <v>0.00065282385184253+0.0065282385184253i</v>
      </c>
      <c r="E30" s="43" t="s">
        <v>36</v>
      </c>
      <c r="F30" s="44"/>
    </row>
    <row r="31" spans="2:12" x14ac:dyDescent="0.25">
      <c r="B31" s="80"/>
      <c r="C31" s="42" t="s">
        <v>58</v>
      </c>
      <c r="D31" s="14" t="str">
        <f>COMPLEX(D24,D26)</f>
        <v>0.00065282385184253+0.0065282385184253i</v>
      </c>
      <c r="E31" s="43" t="s">
        <v>36</v>
      </c>
      <c r="F31" s="44"/>
    </row>
    <row r="32" spans="2:12" ht="14.4" thickBot="1" x14ac:dyDescent="0.3">
      <c r="K32" s="1" t="s">
        <v>113</v>
      </c>
      <c r="L32" s="1" t="s">
        <v>115</v>
      </c>
    </row>
    <row r="33" spans="2:12" ht="14.4" thickBot="1" x14ac:dyDescent="0.3">
      <c r="B33" s="17"/>
      <c r="C33" s="18" t="s">
        <v>6</v>
      </c>
      <c r="D33" s="18" t="s">
        <v>10</v>
      </c>
      <c r="E33" s="18" t="s">
        <v>7</v>
      </c>
      <c r="F33" s="19" t="s">
        <v>12</v>
      </c>
    </row>
    <row r="34" spans="2:12" ht="27.6" x14ac:dyDescent="0.25">
      <c r="B34" s="89" t="s">
        <v>30</v>
      </c>
      <c r="C34" s="5" t="s">
        <v>31</v>
      </c>
      <c r="D34" s="20" t="s">
        <v>63</v>
      </c>
      <c r="E34" s="21" t="s">
        <v>36</v>
      </c>
      <c r="F34" s="81">
        <f xml:space="preserve"> ((D35)*(D9/D36)*(D37/D38)^2)</f>
        <v>0.1</v>
      </c>
      <c r="K34" s="1" t="s">
        <v>114</v>
      </c>
      <c r="L34" s="1">
        <v>9.9500000000000005E-2</v>
      </c>
    </row>
    <row r="35" spans="2:12" x14ac:dyDescent="0.25">
      <c r="B35" s="90"/>
      <c r="C35" s="8" t="s">
        <v>32</v>
      </c>
      <c r="D35" s="71">
        <v>0.1</v>
      </c>
      <c r="E35" s="9" t="s">
        <v>36</v>
      </c>
      <c r="F35" s="82"/>
    </row>
    <row r="36" spans="2:12" x14ac:dyDescent="0.25">
      <c r="B36" s="90"/>
      <c r="C36" s="8" t="s">
        <v>33</v>
      </c>
      <c r="D36" s="9">
        <v>100</v>
      </c>
      <c r="E36" s="9" t="s">
        <v>11</v>
      </c>
      <c r="F36" s="82"/>
    </row>
    <row r="37" spans="2:12" x14ac:dyDescent="0.25">
      <c r="B37" s="90"/>
      <c r="C37" s="8" t="s">
        <v>34</v>
      </c>
      <c r="D37" s="9">
        <v>220</v>
      </c>
      <c r="E37" s="9" t="s">
        <v>8</v>
      </c>
      <c r="F37" s="82"/>
      <c r="K37" s="1" t="s">
        <v>113</v>
      </c>
      <c r="L37" s="67">
        <f>0.95*1.1/(1+(0.6*L34))</f>
        <v>0.9861281494762667</v>
      </c>
    </row>
    <row r="38" spans="2:12" x14ac:dyDescent="0.25">
      <c r="B38" s="90"/>
      <c r="C38" s="8" t="s">
        <v>35</v>
      </c>
      <c r="D38" s="9">
        <v>220</v>
      </c>
      <c r="E38" s="9" t="s">
        <v>8</v>
      </c>
      <c r="F38" s="82"/>
      <c r="L38" s="67"/>
    </row>
    <row r="39" spans="2:12" x14ac:dyDescent="0.25">
      <c r="B39" s="90"/>
      <c r="C39" s="83"/>
      <c r="D39" s="84"/>
      <c r="E39" s="84"/>
      <c r="F39" s="85"/>
      <c r="L39" s="68">
        <f>L37*10</f>
        <v>9.8612814947626664</v>
      </c>
    </row>
    <row r="40" spans="2:12" x14ac:dyDescent="0.25">
      <c r="B40" s="90"/>
      <c r="C40" s="8" t="s">
        <v>37</v>
      </c>
      <c r="D40" s="9">
        <v>10</v>
      </c>
      <c r="E40" s="8"/>
      <c r="F40" s="16"/>
      <c r="G40" s="1" t="s">
        <v>26</v>
      </c>
      <c r="H40" s="1">
        <v>63.5</v>
      </c>
      <c r="I40" s="1" t="s">
        <v>105</v>
      </c>
    </row>
    <row r="41" spans="2:12" x14ac:dyDescent="0.25">
      <c r="B41" s="90"/>
      <c r="C41" s="8" t="s">
        <v>39</v>
      </c>
      <c r="D41" s="9" t="s">
        <v>116</v>
      </c>
      <c r="E41" s="8"/>
      <c r="F41" s="16"/>
      <c r="G41" s="1" t="s">
        <v>106</v>
      </c>
      <c r="H41" s="1">
        <f>11*11/D9</f>
        <v>1.21</v>
      </c>
      <c r="I41" s="1" t="s">
        <v>105</v>
      </c>
    </row>
    <row r="42" spans="2:12" x14ac:dyDescent="0.25">
      <c r="B42" s="90"/>
      <c r="C42" s="8" t="s">
        <v>55</v>
      </c>
      <c r="D42" s="9" t="s">
        <v>117</v>
      </c>
      <c r="E42" s="8"/>
      <c r="F42" s="16"/>
      <c r="G42" s="1" t="s">
        <v>107</v>
      </c>
      <c r="H42" s="1">
        <f>H40/H41</f>
        <v>52.47933884297521</v>
      </c>
      <c r="I42" s="1" t="s">
        <v>36</v>
      </c>
    </row>
    <row r="43" spans="2:12" x14ac:dyDescent="0.25">
      <c r="B43" s="90"/>
      <c r="C43" s="8" t="s">
        <v>26</v>
      </c>
      <c r="D43" s="9">
        <f>F34/SQRT(101)</f>
        <v>9.9503719020998926E-3</v>
      </c>
      <c r="E43" s="9" t="s">
        <v>36</v>
      </c>
      <c r="F43" s="16"/>
    </row>
    <row r="44" spans="2:12" x14ac:dyDescent="0.25">
      <c r="B44" s="90"/>
      <c r="C44" s="8" t="s">
        <v>39</v>
      </c>
      <c r="D44" s="9">
        <f>(10*D43)</f>
        <v>9.9503719020998929E-2</v>
      </c>
      <c r="E44" s="9" t="s">
        <v>36</v>
      </c>
      <c r="F44" s="52"/>
      <c r="G44" s="60" t="s">
        <v>98</v>
      </c>
      <c r="H44" s="61" t="str">
        <f>IMSUM(D53,3*H42)</f>
        <v>157.447828850094+0.0981232116859234i</v>
      </c>
      <c r="I44" s="62"/>
      <c r="J44" s="62"/>
    </row>
    <row r="45" spans="2:12" x14ac:dyDescent="0.25">
      <c r="B45" s="90"/>
      <c r="C45" s="73" t="s">
        <v>118</v>
      </c>
      <c r="D45" s="69"/>
      <c r="E45" s="9"/>
      <c r="F45" s="70"/>
    </row>
    <row r="46" spans="2:12" x14ac:dyDescent="0.25">
      <c r="B46" s="90"/>
      <c r="C46" s="8" t="s">
        <v>113</v>
      </c>
      <c r="D46" s="69" t="s">
        <v>119</v>
      </c>
      <c r="E46" s="9"/>
      <c r="F46" s="72">
        <f>0.95*1.1/(1+(0.6*D44))</f>
        <v>0.98612607298844579</v>
      </c>
    </row>
    <row r="47" spans="2:12" x14ac:dyDescent="0.25">
      <c r="B47" s="90"/>
      <c r="C47" s="8" t="s">
        <v>120</v>
      </c>
      <c r="D47" s="9" t="s">
        <v>121</v>
      </c>
      <c r="E47" s="9"/>
      <c r="F47" s="25"/>
    </row>
    <row r="48" spans="2:12" x14ac:dyDescent="0.25">
      <c r="B48" s="90"/>
      <c r="C48" s="8" t="s">
        <v>26</v>
      </c>
      <c r="D48" s="9">
        <f>D43*F46</f>
        <v>9.8123211685923386E-3</v>
      </c>
      <c r="E48" s="9" t="s">
        <v>36</v>
      </c>
      <c r="F48" s="70"/>
    </row>
    <row r="49" spans="2:12" x14ac:dyDescent="0.25">
      <c r="B49" s="90"/>
      <c r="C49" s="8" t="s">
        <v>39</v>
      </c>
      <c r="D49" s="9">
        <f>D44*F46</f>
        <v>9.8123211685923389E-2</v>
      </c>
      <c r="E49" s="9" t="s">
        <v>36</v>
      </c>
      <c r="F49" s="70"/>
    </row>
    <row r="50" spans="2:12" x14ac:dyDescent="0.25">
      <c r="B50" s="90"/>
      <c r="C50" s="83"/>
      <c r="D50" s="84"/>
      <c r="E50" s="84"/>
      <c r="F50" s="85"/>
    </row>
    <row r="51" spans="2:12" x14ac:dyDescent="0.25">
      <c r="B51" s="90"/>
      <c r="C51" s="13" t="s">
        <v>86</v>
      </c>
      <c r="D51" s="13" t="str">
        <f>COMPLEX(D48,D49)</f>
        <v>0.00981232116859234+0.0981232116859234i</v>
      </c>
      <c r="E51" s="59" t="s">
        <v>36</v>
      </c>
      <c r="F51" s="13"/>
    </row>
    <row r="52" spans="2:12" x14ac:dyDescent="0.25">
      <c r="B52" s="90"/>
      <c r="C52" s="13" t="s">
        <v>60</v>
      </c>
      <c r="D52" s="13" t="str">
        <f>D51</f>
        <v>0.00981232116859234+0.0981232116859234i</v>
      </c>
      <c r="E52" s="59" t="s">
        <v>36</v>
      </c>
      <c r="F52" s="13"/>
      <c r="H52" s="1" t="s">
        <v>96</v>
      </c>
      <c r="I52" s="1" t="s">
        <v>97</v>
      </c>
    </row>
    <row r="53" spans="2:12" x14ac:dyDescent="0.25">
      <c r="B53" s="90"/>
      <c r="C53" s="13" t="s">
        <v>58</v>
      </c>
      <c r="D53" s="13" t="str">
        <f>D51</f>
        <v>0.00981232116859234+0.0981232116859234i</v>
      </c>
      <c r="E53" s="59" t="s">
        <v>36</v>
      </c>
      <c r="F53" s="13"/>
      <c r="H53" s="1" t="s">
        <v>58</v>
      </c>
      <c r="I53" s="1" t="s">
        <v>98</v>
      </c>
      <c r="L53" s="1" t="str">
        <f>IMPRODUCT(D51,F46)</f>
        <v>0.00967618574088536+0.0967618574088536i</v>
      </c>
    </row>
    <row r="54" spans="2:12" ht="14.4" thickBot="1" x14ac:dyDescent="0.3"/>
    <row r="55" spans="2:12" x14ac:dyDescent="0.25">
      <c r="B55" s="22"/>
      <c r="C55" s="5" t="s">
        <v>64</v>
      </c>
      <c r="D55" s="5" t="s">
        <v>45</v>
      </c>
      <c r="E55" s="23" t="s">
        <v>9</v>
      </c>
      <c r="F55" s="91"/>
    </row>
    <row r="56" spans="2:12" x14ac:dyDescent="0.25">
      <c r="B56" s="79" t="s">
        <v>40</v>
      </c>
      <c r="C56" s="24" t="s">
        <v>41</v>
      </c>
      <c r="D56" s="66">
        <v>1</v>
      </c>
      <c r="E56" s="66" t="s">
        <v>36</v>
      </c>
      <c r="F56" s="91"/>
    </row>
    <row r="57" spans="2:12" x14ac:dyDescent="0.25">
      <c r="B57" s="79"/>
      <c r="C57" s="24" t="s">
        <v>42</v>
      </c>
      <c r="D57" s="66" t="str">
        <f>COMPLEX(D24,D26)</f>
        <v>0.00065282385184253+0.0065282385184253i</v>
      </c>
      <c r="E57" s="66" t="s">
        <v>36</v>
      </c>
      <c r="F57" s="91"/>
    </row>
    <row r="58" spans="2:12" x14ac:dyDescent="0.25">
      <c r="B58" s="79"/>
      <c r="C58" s="53" t="s">
        <v>43</v>
      </c>
      <c r="D58" s="54" t="str">
        <f>D51</f>
        <v>0.00981232116859234+0.0981232116859234i</v>
      </c>
      <c r="E58" s="54" t="s">
        <v>36</v>
      </c>
      <c r="F58" s="91"/>
    </row>
    <row r="59" spans="2:12" x14ac:dyDescent="0.25">
      <c r="B59" s="92"/>
      <c r="E59" s="56"/>
    </row>
    <row r="60" spans="2:12" x14ac:dyDescent="0.25">
      <c r="B60" s="79"/>
      <c r="C60" s="93" t="s">
        <v>44</v>
      </c>
      <c r="D60" s="55" t="s">
        <v>46</v>
      </c>
      <c r="E60" s="65" t="s">
        <v>36</v>
      </c>
    </row>
    <row r="61" spans="2:12" x14ac:dyDescent="0.25">
      <c r="B61" s="79"/>
      <c r="C61" s="94"/>
      <c r="D61" s="24" t="str">
        <f>IMSUM(D57,D58)</f>
        <v>0.0104651450204349+0.104651450204349i</v>
      </c>
      <c r="E61" s="66" t="s">
        <v>36</v>
      </c>
    </row>
    <row r="62" spans="2:12" x14ac:dyDescent="0.25">
      <c r="B62" s="79"/>
      <c r="C62" s="24" t="s">
        <v>64</v>
      </c>
      <c r="D62" s="24" t="str">
        <f>IMDIV(D56,D61)</f>
        <v>0.946092011116578-9.46092011116578i</v>
      </c>
      <c r="E62" s="66" t="s">
        <v>36</v>
      </c>
    </row>
    <row r="63" spans="2:12" x14ac:dyDescent="0.25">
      <c r="B63" s="79"/>
      <c r="C63" s="25"/>
      <c r="D63" s="25"/>
      <c r="E63" s="25"/>
      <c r="F63" s="1" t="s">
        <v>125</v>
      </c>
    </row>
    <row r="64" spans="2:12" x14ac:dyDescent="0.25">
      <c r="B64" s="79"/>
      <c r="C64" s="11" t="s">
        <v>47</v>
      </c>
      <c r="D64" s="11" t="s">
        <v>50</v>
      </c>
      <c r="E64" s="66" t="s">
        <v>49</v>
      </c>
    </row>
    <row r="65" spans="2:14" x14ac:dyDescent="0.25">
      <c r="B65" s="79"/>
      <c r="C65" s="8" t="s">
        <v>14</v>
      </c>
      <c r="D65" s="8">
        <v>100</v>
      </c>
      <c r="E65" s="9" t="s">
        <v>11</v>
      </c>
      <c r="H65" s="26"/>
      <c r="I65" s="26"/>
    </row>
    <row r="66" spans="2:14" x14ac:dyDescent="0.25">
      <c r="B66" s="79"/>
      <c r="C66" s="8" t="s">
        <v>48</v>
      </c>
      <c r="D66" s="8">
        <v>33</v>
      </c>
      <c r="E66" s="9" t="s">
        <v>8</v>
      </c>
      <c r="H66" s="27"/>
      <c r="I66" s="27"/>
    </row>
    <row r="67" spans="2:14" x14ac:dyDescent="0.25">
      <c r="B67" s="79"/>
      <c r="C67" s="8" t="s">
        <v>53</v>
      </c>
      <c r="D67" s="8">
        <f>((D65)/(1.732*D66))</f>
        <v>1.7495975925537126</v>
      </c>
      <c r="E67" s="9" t="s">
        <v>9</v>
      </c>
      <c r="H67" s="27"/>
      <c r="I67" s="27"/>
    </row>
    <row r="68" spans="2:14" x14ac:dyDescent="0.25">
      <c r="B68" s="79"/>
      <c r="C68" s="8" t="s">
        <v>51</v>
      </c>
      <c r="D68" s="8">
        <v>1</v>
      </c>
      <c r="E68" s="8"/>
      <c r="H68" s="27"/>
      <c r="I68" s="27"/>
    </row>
    <row r="69" spans="2:14" x14ac:dyDescent="0.25">
      <c r="B69" s="79"/>
      <c r="C69" s="8" t="s">
        <v>52</v>
      </c>
      <c r="D69" s="8" t="s">
        <v>133</v>
      </c>
      <c r="E69" s="8"/>
      <c r="H69" s="27"/>
      <c r="I69" s="27"/>
    </row>
    <row r="70" spans="2:14" x14ac:dyDescent="0.25">
      <c r="B70" s="79"/>
      <c r="C70" s="25"/>
      <c r="D70" s="13" t="str">
        <f>IMPRODUCT(D62,D67,D68)</f>
        <v>1.65528030498387-16.5528030498387i</v>
      </c>
      <c r="E70" s="25"/>
      <c r="H70" s="26"/>
      <c r="I70" s="26"/>
    </row>
    <row r="71" spans="2:14" x14ac:dyDescent="0.25">
      <c r="B71" s="64"/>
      <c r="C71" s="95" t="s">
        <v>52</v>
      </c>
      <c r="E71" s="63" t="s">
        <v>9</v>
      </c>
      <c r="H71" s="26"/>
      <c r="I71" s="26"/>
    </row>
    <row r="72" spans="2:14" ht="14.4" thickBot="1" x14ac:dyDescent="0.3">
      <c r="B72" s="29"/>
      <c r="C72" s="99"/>
      <c r="D72" s="28">
        <f>IMABS(D70)</f>
        <v>16.635361183178947</v>
      </c>
      <c r="E72" s="31" t="s">
        <v>56</v>
      </c>
      <c r="F72" s="1">
        <f>2.2</f>
        <v>2.2000000000000002</v>
      </c>
    </row>
    <row r="73" spans="2:14" x14ac:dyDescent="0.25">
      <c r="D73" s="30">
        <f>IMARGUMENT(D70)*180/3.14</f>
        <v>-84.332159673462499</v>
      </c>
    </row>
    <row r="74" spans="2:14" x14ac:dyDescent="0.25">
      <c r="B74" s="45"/>
      <c r="C74" s="45" t="s">
        <v>87</v>
      </c>
      <c r="D74" s="45"/>
      <c r="E74" s="45"/>
      <c r="F74" s="27"/>
    </row>
    <row r="75" spans="2:14" x14ac:dyDescent="0.25">
      <c r="C75" s="8" t="s">
        <v>59</v>
      </c>
      <c r="D75" s="8" t="str">
        <f>IMSUM(D29,D51)</f>
        <v>0.0104651450204349+0.104651450204349i</v>
      </c>
      <c r="E75" s="57" t="s">
        <v>36</v>
      </c>
      <c r="F75" s="58"/>
    </row>
    <row r="76" spans="2:14" x14ac:dyDescent="0.25">
      <c r="C76" s="8" t="s">
        <v>60</v>
      </c>
      <c r="D76" s="8" t="str">
        <f>IMSUM(D30,D52)</f>
        <v>0.0104651450204349+0.104651450204349i</v>
      </c>
      <c r="E76" s="66" t="s">
        <v>36</v>
      </c>
      <c r="F76" s="1" t="s">
        <v>95</v>
      </c>
      <c r="G76" s="1" t="s">
        <v>96</v>
      </c>
      <c r="H76" s="1" t="s">
        <v>97</v>
      </c>
      <c r="I76" s="1" t="s">
        <v>99</v>
      </c>
      <c r="J76" s="1" t="s">
        <v>100</v>
      </c>
      <c r="K76" s="1" t="s">
        <v>101</v>
      </c>
      <c r="L76" s="1" t="s">
        <v>102</v>
      </c>
      <c r="M76" s="1" t="s">
        <v>103</v>
      </c>
      <c r="N76" s="1" t="s">
        <v>104</v>
      </c>
    </row>
    <row r="77" spans="2:14" x14ac:dyDescent="0.25">
      <c r="C77" s="8" t="s">
        <v>58</v>
      </c>
      <c r="D77" s="8" t="str">
        <f>IMSUM(D53)</f>
        <v>0.00981232116859234+0.0981232116859234i</v>
      </c>
      <c r="E77" s="66" t="s">
        <v>36</v>
      </c>
      <c r="F77" s="1">
        <v>0</v>
      </c>
      <c r="G77" s="1" t="s">
        <v>108</v>
      </c>
      <c r="H77" s="1" t="s">
        <v>109</v>
      </c>
      <c r="I77" s="1">
        <v>0</v>
      </c>
      <c r="J77" s="1">
        <v>0</v>
      </c>
      <c r="K77" s="1">
        <v>0</v>
      </c>
      <c r="L77" s="1">
        <v>0</v>
      </c>
      <c r="M77" s="1" t="s">
        <v>110</v>
      </c>
      <c r="N77" s="1" t="s">
        <v>111</v>
      </c>
    </row>
    <row r="78" spans="2:14" s="26" customFormat="1" ht="14.4" thickBot="1" x14ac:dyDescent="0.3">
      <c r="C78" s="46"/>
      <c r="D78" s="46"/>
      <c r="E78" s="47"/>
    </row>
    <row r="79" spans="2:14" x14ac:dyDescent="0.25">
      <c r="B79" s="97" t="s">
        <v>54</v>
      </c>
      <c r="C79" s="5" t="s">
        <v>54</v>
      </c>
      <c r="D79" s="5" t="s">
        <v>57</v>
      </c>
      <c r="E79" s="48" t="s">
        <v>9</v>
      </c>
      <c r="F79" s="91"/>
    </row>
    <row r="80" spans="2:14" x14ac:dyDescent="0.25">
      <c r="B80" s="98"/>
      <c r="C80" s="8" t="s">
        <v>61</v>
      </c>
      <c r="D80" s="8" t="str">
        <f>IMSUM(D75,D76,D77)</f>
        <v>0.0307426112094621+0.307426112094621i</v>
      </c>
      <c r="E80" s="49" t="s">
        <v>36</v>
      </c>
      <c r="F80" s="91"/>
    </row>
    <row r="81" spans="2:6" x14ac:dyDescent="0.25">
      <c r="B81" s="98"/>
      <c r="C81" s="13" t="s">
        <v>124</v>
      </c>
      <c r="D81" s="13" t="str">
        <f>IMDIV(3,D80)</f>
        <v>0.966182413544871-9.66182413544871i</v>
      </c>
      <c r="E81" s="50" t="s">
        <v>36</v>
      </c>
      <c r="F81" s="91"/>
    </row>
    <row r="82" spans="2:6" x14ac:dyDescent="0.25">
      <c r="B82" s="98"/>
      <c r="C82" s="13" t="s">
        <v>52</v>
      </c>
      <c r="D82" s="13" t="str">
        <f>IMPRODUCT(D81,D67,D68)</f>
        <v>1.69043042470584-16.9043042470584i</v>
      </c>
      <c r="E82" s="49" t="s">
        <v>9</v>
      </c>
      <c r="F82" s="91"/>
    </row>
    <row r="83" spans="2:6" x14ac:dyDescent="0.25">
      <c r="B83" s="98"/>
      <c r="C83" s="95" t="s">
        <v>52</v>
      </c>
      <c r="D83" s="32">
        <f>IMABS(D82)</f>
        <v>16.988615514452253</v>
      </c>
      <c r="E83" s="51" t="s">
        <v>9</v>
      </c>
      <c r="F83" s="91"/>
    </row>
    <row r="84" spans="2:6" x14ac:dyDescent="0.25">
      <c r="B84" s="98"/>
      <c r="C84" s="96"/>
      <c r="D84" s="32">
        <f>IMARGUMENT(D82)*180/3.14</f>
        <v>-84.332159673462499</v>
      </c>
      <c r="E84" s="51" t="s">
        <v>56</v>
      </c>
      <c r="F84" s="91"/>
    </row>
    <row r="85" spans="2:6" x14ac:dyDescent="0.25">
      <c r="B85" s="98"/>
      <c r="C85" s="37" t="s">
        <v>62</v>
      </c>
      <c r="D85" s="37" t="s">
        <v>122</v>
      </c>
      <c r="E85" s="25"/>
    </row>
    <row r="86" spans="2:6" x14ac:dyDescent="0.25">
      <c r="B86" s="98"/>
      <c r="C86" s="25" t="s">
        <v>123</v>
      </c>
      <c r="D86" s="25" t="str">
        <f>IMDIV(D81,3)</f>
        <v>0.322060804514957-3.22060804514957i</v>
      </c>
      <c r="E86" s="34" t="s">
        <v>36</v>
      </c>
    </row>
    <row r="87" spans="2:6" x14ac:dyDescent="0.25">
      <c r="B87" s="98"/>
      <c r="C87" s="25" t="s">
        <v>65</v>
      </c>
      <c r="D87" s="25"/>
      <c r="E87" s="34"/>
    </row>
    <row r="88" spans="2:6" x14ac:dyDescent="0.25">
      <c r="B88" s="98"/>
      <c r="C88" s="25" t="s">
        <v>66</v>
      </c>
      <c r="D88" s="25" t="str">
        <f>IMPRODUCT(-1,D86,D77)</f>
        <v>-0.319176569021315</v>
      </c>
      <c r="E88" s="34" t="s">
        <v>36</v>
      </c>
    </row>
    <row r="89" spans="2:6" x14ac:dyDescent="0.25">
      <c r="B89" s="98"/>
      <c r="C89" s="25" t="s">
        <v>67</v>
      </c>
      <c r="D89" s="25" t="str">
        <f>IMSUB(1,IMPRODUCT(D86,D75))</f>
        <v>0.659588284510657+6.93889390390723E-18i</v>
      </c>
      <c r="E89" s="34" t="s">
        <v>36</v>
      </c>
    </row>
    <row r="90" spans="2:6" x14ac:dyDescent="0.25">
      <c r="B90" s="98"/>
      <c r="C90" s="25" t="s">
        <v>68</v>
      </c>
      <c r="D90" s="25" t="str">
        <f>IMPRODUCT(-1,D86,D76)</f>
        <v>-0.340411715489343+6.93889390390723E-18i</v>
      </c>
      <c r="E90" s="34" t="s">
        <v>36</v>
      </c>
    </row>
    <row r="91" spans="2:6" x14ac:dyDescent="0.25">
      <c r="B91" s="98"/>
      <c r="C91" s="39" t="s">
        <v>69</v>
      </c>
      <c r="D91" s="39"/>
      <c r="E91" s="40"/>
    </row>
    <row r="92" spans="2:6" x14ac:dyDescent="0.25">
      <c r="B92" s="98"/>
      <c r="C92" s="25" t="s">
        <v>71</v>
      </c>
      <c r="D92" s="25" t="str">
        <f>IMSUM(D88,IMPRODUCT(COMPLEX(-0.5,-0.866),D89),IMPRODUCT(COMPLEX(-0.5,0.866),D90))</f>
        <v>-0.478764853531971-0.866i</v>
      </c>
      <c r="E92" s="34" t="s">
        <v>36</v>
      </c>
    </row>
    <row r="93" spans="2:6" x14ac:dyDescent="0.25">
      <c r="B93" s="98"/>
      <c r="C93" s="36" t="s">
        <v>70</v>
      </c>
      <c r="D93" s="36" t="str">
        <f>IMPRODUCT(D92,D66/SQRT(3))</f>
        <v>-9.1216955631521-16.4995159929011i</v>
      </c>
      <c r="E93" s="38" t="s">
        <v>8</v>
      </c>
    </row>
    <row r="94" spans="2:6" x14ac:dyDescent="0.25">
      <c r="B94" s="98"/>
      <c r="C94" s="36"/>
      <c r="D94" s="36">
        <f>IMABS(D93)</f>
        <v>18.853099425474525</v>
      </c>
      <c r="E94" s="38" t="s">
        <v>8</v>
      </c>
    </row>
    <row r="95" spans="2:6" x14ac:dyDescent="0.25">
      <c r="B95" s="98"/>
      <c r="C95" s="36"/>
      <c r="D95" s="36">
        <f>IMARGUMENT(D93)*180/3.14</f>
        <v>-118.9961732119593</v>
      </c>
      <c r="E95" s="38" t="s">
        <v>56</v>
      </c>
    </row>
    <row r="96" spans="2:6" x14ac:dyDescent="0.25">
      <c r="B96" s="98"/>
      <c r="C96" s="25" t="s">
        <v>72</v>
      </c>
      <c r="D96" s="25" t="str">
        <f>IMSUM(D88,IMPRODUCT(COMPLEX(-0.5,0.866),D89),IMPRODUCT(COMPLEX(-0.5,-0.866),D90))</f>
        <v>-0.478764853531971+0.866i</v>
      </c>
      <c r="E96" s="34" t="s">
        <v>36</v>
      </c>
    </row>
    <row r="97" spans="2:6" x14ac:dyDescent="0.25">
      <c r="B97" s="98"/>
      <c r="C97" s="36" t="s">
        <v>94</v>
      </c>
      <c r="D97" s="36" t="str">
        <f>IMPRODUCT(D96,D66/SQRT(3))</f>
        <v>-9.1216955631521+16.4995159929011i</v>
      </c>
      <c r="E97" s="38" t="s">
        <v>8</v>
      </c>
    </row>
    <row r="98" spans="2:6" x14ac:dyDescent="0.25">
      <c r="B98" s="98"/>
      <c r="C98" s="36"/>
      <c r="D98" s="36">
        <f>IMABS(D97)</f>
        <v>18.853099425474525</v>
      </c>
      <c r="E98" s="38" t="s">
        <v>8</v>
      </c>
    </row>
    <row r="99" spans="2:6" x14ac:dyDescent="0.25">
      <c r="B99" s="98"/>
      <c r="C99" s="36"/>
      <c r="D99" s="36">
        <f>IMARGUMENT(D97)*180/3.14</f>
        <v>118.9961732119593</v>
      </c>
      <c r="E99" s="38" t="s">
        <v>56</v>
      </c>
    </row>
    <row r="101" spans="2:6" ht="14.4" thickBot="1" x14ac:dyDescent="0.3"/>
    <row r="102" spans="2:6" x14ac:dyDescent="0.25">
      <c r="B102" s="97" t="s">
        <v>73</v>
      </c>
      <c r="C102" s="5" t="s">
        <v>73</v>
      </c>
      <c r="D102" s="5" t="s">
        <v>112</v>
      </c>
      <c r="E102" s="48" t="s">
        <v>9</v>
      </c>
      <c r="F102" s="91"/>
    </row>
    <row r="103" spans="2:6" x14ac:dyDescent="0.25">
      <c r="B103" s="98"/>
      <c r="C103" s="8" t="s">
        <v>74</v>
      </c>
      <c r="D103" s="8" t="str">
        <f>IMSUM(D75,D76)</f>
        <v>0.0209302900408698+0.209302900408698i</v>
      </c>
      <c r="E103" s="49" t="s">
        <v>36</v>
      </c>
      <c r="F103" s="91"/>
    </row>
    <row r="104" spans="2:6" x14ac:dyDescent="0.25">
      <c r="B104" s="98"/>
      <c r="C104" s="13" t="s">
        <v>75</v>
      </c>
      <c r="D104" s="13" t="str">
        <f>IMDIV(COMPLEX(0,-SQRT(3)),D103)</f>
        <v>-8.19339715944468-0.819339715944468i</v>
      </c>
      <c r="E104" s="50" t="s">
        <v>36</v>
      </c>
      <c r="F104" s="91"/>
    </row>
    <row r="105" spans="2:6" x14ac:dyDescent="0.25">
      <c r="B105" s="98"/>
      <c r="C105" s="13" t="s">
        <v>52</v>
      </c>
      <c r="D105" s="13" t="str">
        <f>IMPRODUCT(D104,D67,D68)</f>
        <v>-14.3351479450008-1.43351479450008i</v>
      </c>
      <c r="E105" s="49" t="s">
        <v>9</v>
      </c>
      <c r="F105" s="91"/>
    </row>
    <row r="106" spans="2:6" x14ac:dyDescent="0.25">
      <c r="B106" s="98"/>
      <c r="C106" s="95" t="s">
        <v>77</v>
      </c>
      <c r="D106" s="32">
        <f>IMABS(D105)</f>
        <v>14.406645385762475</v>
      </c>
      <c r="E106" s="51" t="s">
        <v>9</v>
      </c>
      <c r="F106" s="91"/>
    </row>
    <row r="107" spans="2:6" x14ac:dyDescent="0.25">
      <c r="B107" s="98"/>
      <c r="C107" s="96"/>
      <c r="D107" s="32">
        <f>IMARGUMENT(D105)*180/3.14</f>
        <v>-174.3778089801763</v>
      </c>
      <c r="E107" s="51" t="s">
        <v>56</v>
      </c>
      <c r="F107" s="91"/>
    </row>
    <row r="108" spans="2:6" x14ac:dyDescent="0.25">
      <c r="B108" s="98"/>
      <c r="C108" s="95" t="s">
        <v>76</v>
      </c>
      <c r="D108" s="32">
        <f>IMABS(IMPRODUCT(-1,D105))</f>
        <v>14.406645385762475</v>
      </c>
      <c r="E108" s="51" t="s">
        <v>9</v>
      </c>
      <c r="F108" s="91"/>
    </row>
    <row r="109" spans="2:6" x14ac:dyDescent="0.25">
      <c r="B109" s="98"/>
      <c r="C109" s="96"/>
      <c r="D109" s="32">
        <f>IMARGUMENT(IMPRODUCT(-1,D105))*180/3.14</f>
        <v>5.7134896332513252</v>
      </c>
      <c r="E109" s="51" t="s">
        <v>56</v>
      </c>
      <c r="F109" s="91"/>
    </row>
    <row r="110" spans="2:6" x14ac:dyDescent="0.25">
      <c r="B110" s="98"/>
      <c r="C110" s="37" t="s">
        <v>62</v>
      </c>
      <c r="D110" s="37" t="s">
        <v>78</v>
      </c>
      <c r="E110" s="25"/>
    </row>
    <row r="111" spans="2:6" x14ac:dyDescent="0.25">
      <c r="B111" s="98"/>
      <c r="C111" s="25" t="s">
        <v>79</v>
      </c>
      <c r="D111" s="25" t="str">
        <f>IMDIV(IMSUB(IMPRODUCT(COMPLEX(-0.5,0.866),D104),IMPRODUCT(COMPLEX(-0.5,-0.866),D104)),3)</f>
        <v>0.473032129338607-4.73032129338607i</v>
      </c>
      <c r="E111" s="34" t="s">
        <v>36</v>
      </c>
    </row>
    <row r="112" spans="2:6" x14ac:dyDescent="0.25">
      <c r="B112" s="98"/>
      <c r="C112" s="25" t="s">
        <v>80</v>
      </c>
      <c r="D112" s="25" t="str">
        <f>IMDIV(IMSUB(IMPRODUCT(COMPLEX(-0.5,-0.866),D104),IMPRODUCT(COMPLEX(-0.5,0.866),D104)),3)</f>
        <v>-0.473032129338607+4.73032129338607i</v>
      </c>
      <c r="E112" s="34" t="s">
        <v>36</v>
      </c>
    </row>
    <row r="113" spans="2:5" x14ac:dyDescent="0.25">
      <c r="B113" s="98"/>
      <c r="C113" s="39" t="s">
        <v>65</v>
      </c>
      <c r="D113" s="39"/>
      <c r="E113" s="40"/>
    </row>
    <row r="114" spans="2:5" x14ac:dyDescent="0.25">
      <c r="B114" s="98"/>
      <c r="C114" s="25" t="s">
        <v>67</v>
      </c>
      <c r="D114" s="25" t="str">
        <f>IMSUB(1,IMPRODUCT(D111,D75))</f>
        <v>0.500014666881782+6.93889390390723E-18i</v>
      </c>
      <c r="E114" s="34" t="s">
        <v>36</v>
      </c>
    </row>
    <row r="115" spans="2:5" x14ac:dyDescent="0.25">
      <c r="B115" s="98"/>
      <c r="C115" s="25" t="s">
        <v>68</v>
      </c>
      <c r="D115" s="25" t="str">
        <f>IMPRODUCT(-1,D112,D76)</f>
        <v>0.499985333118218-6.93889390390723E-18i</v>
      </c>
      <c r="E115" s="34" t="s">
        <v>36</v>
      </c>
    </row>
    <row r="116" spans="2:5" x14ac:dyDescent="0.25">
      <c r="B116" s="98"/>
      <c r="C116" s="39" t="s">
        <v>69</v>
      </c>
      <c r="D116" s="39"/>
      <c r="E116" s="40"/>
    </row>
    <row r="117" spans="2:5" x14ac:dyDescent="0.25">
      <c r="B117" s="98"/>
      <c r="C117" s="25" t="s">
        <v>81</v>
      </c>
      <c r="D117" s="25" t="str">
        <f>IMSUM(D114,D115)</f>
        <v>1</v>
      </c>
      <c r="E117" s="34" t="s">
        <v>36</v>
      </c>
    </row>
    <row r="118" spans="2:5" x14ac:dyDescent="0.25">
      <c r="B118" s="98"/>
      <c r="C118" s="36" t="s">
        <v>82</v>
      </c>
      <c r="D118" s="36" t="str">
        <f>IMPRODUCT(D117,D66/SQRT(3))</f>
        <v>19.0525588832576</v>
      </c>
      <c r="E118" s="38" t="s">
        <v>8</v>
      </c>
    </row>
    <row r="119" spans="2:5" x14ac:dyDescent="0.25">
      <c r="B119" s="98"/>
      <c r="C119" s="36"/>
      <c r="D119" s="36">
        <f>IMABS(D118)</f>
        <v>19.0525588832576</v>
      </c>
      <c r="E119" s="38" t="s">
        <v>8</v>
      </c>
    </row>
    <row r="120" spans="2:5" x14ac:dyDescent="0.25">
      <c r="B120" s="98"/>
      <c r="C120" s="36"/>
      <c r="D120" s="36">
        <f>IMARGUMENT(D118)*180/3.14</f>
        <v>0</v>
      </c>
      <c r="E120" s="38" t="s">
        <v>56</v>
      </c>
    </row>
    <row r="121" spans="2:5" x14ac:dyDescent="0.25">
      <c r="B121" s="98"/>
      <c r="C121" s="25" t="s">
        <v>71</v>
      </c>
      <c r="D121" s="25" t="str">
        <f>IMSUM(IMPRODUCT(COMPLEX(-0.5,-0.866),D114),IMPRODUCT(COMPLEX(-0.5,0.866),D115))</f>
        <v>-0.5-0.0000254030392460303i</v>
      </c>
      <c r="E121" s="41" t="s">
        <v>36</v>
      </c>
    </row>
    <row r="122" spans="2:5" x14ac:dyDescent="0.25">
      <c r="B122" s="98"/>
      <c r="C122" s="36" t="s">
        <v>70</v>
      </c>
      <c r="D122" s="36" t="str">
        <f>IMPRODUCT(D121,D66/SQRT(3))</f>
        <v>-9.52627944162882-0.000483992901048697i</v>
      </c>
      <c r="E122" s="38" t="s">
        <v>8</v>
      </c>
    </row>
    <row r="123" spans="2:5" x14ac:dyDescent="0.25">
      <c r="B123" s="98"/>
      <c r="C123" s="36"/>
      <c r="D123" s="36">
        <f>IMABS(D122)</f>
        <v>9.5262794539237099</v>
      </c>
      <c r="E123" s="38" t="s">
        <v>8</v>
      </c>
    </row>
    <row r="124" spans="2:5" x14ac:dyDescent="0.25">
      <c r="B124" s="98"/>
      <c r="C124" s="36"/>
      <c r="D124" s="36">
        <f>IMARGUMENT(D122)*180/3.14</f>
        <v>-180.08838616307071</v>
      </c>
      <c r="E124" s="38" t="s">
        <v>56</v>
      </c>
    </row>
    <row r="125" spans="2:5" x14ac:dyDescent="0.25">
      <c r="B125" s="98"/>
      <c r="C125" s="25" t="s">
        <v>72</v>
      </c>
      <c r="D125" s="25" t="str">
        <f>IMSUM(IMPRODUCT(COMPLEX(-0.5,0.866),D114),IMPRODUCT(COMPLEX(-0.5,-0.866),D115))</f>
        <v>-0.5+0.0000254030392460303i</v>
      </c>
      <c r="E125" s="34" t="s">
        <v>36</v>
      </c>
    </row>
    <row r="126" spans="2:5" x14ac:dyDescent="0.25">
      <c r="B126" s="98"/>
      <c r="C126" s="36" t="s">
        <v>94</v>
      </c>
      <c r="D126" s="36" t="str">
        <f>IMPRODUCT(D125,D66/SQRT(3))</f>
        <v>-9.52627944162882+0.000483992901048697i</v>
      </c>
      <c r="E126" s="38" t="s">
        <v>8</v>
      </c>
    </row>
    <row r="127" spans="2:5" x14ac:dyDescent="0.25">
      <c r="B127" s="98"/>
      <c r="C127" s="36"/>
      <c r="D127" s="36">
        <f>IMABS(D126)</f>
        <v>9.5262794539237099</v>
      </c>
      <c r="E127" s="38" t="s">
        <v>8</v>
      </c>
    </row>
    <row r="128" spans="2:5" x14ac:dyDescent="0.25">
      <c r="B128" s="98"/>
      <c r="C128" s="36"/>
      <c r="D128" s="36">
        <f>IMARGUMENT(D126)*180/3.14</f>
        <v>180.08838616307071</v>
      </c>
      <c r="E128" s="38" t="s">
        <v>56</v>
      </c>
    </row>
    <row r="129" spans="2:5" ht="14.4" thickBot="1" x14ac:dyDescent="0.3"/>
    <row r="130" spans="2:5" x14ac:dyDescent="0.25">
      <c r="B130" s="97" t="s">
        <v>83</v>
      </c>
      <c r="C130" s="5" t="s">
        <v>83</v>
      </c>
      <c r="D130" s="5" t="s">
        <v>90</v>
      </c>
      <c r="E130" s="7" t="s">
        <v>9</v>
      </c>
    </row>
    <row r="131" spans="2:5" x14ac:dyDescent="0.25">
      <c r="B131" s="98"/>
      <c r="C131" s="8" t="s">
        <v>84</v>
      </c>
      <c r="D131" s="8" t="str">
        <f>IMDIV(1,IMSUM(D75,IMDIV(IMPRODUCT(D76,D77),IMSUM(D76,D77))))</f>
        <v>0.637570101081728-6.37570101081728i</v>
      </c>
      <c r="E131" s="66" t="s">
        <v>36</v>
      </c>
    </row>
    <row r="132" spans="2:5" x14ac:dyDescent="0.25">
      <c r="B132" s="98"/>
      <c r="C132" s="8" t="s">
        <v>88</v>
      </c>
      <c r="D132" s="8" t="str">
        <f>IMPRODUCT(-1,D131,IMDIV(D77,IMSUM(D76,D77)))</f>
        <v>-0.308521910034852+3.08521910034852i</v>
      </c>
      <c r="E132" s="66" t="s">
        <v>36</v>
      </c>
    </row>
    <row r="133" spans="2:5" x14ac:dyDescent="0.25">
      <c r="B133" s="98"/>
      <c r="C133" s="8" t="s">
        <v>89</v>
      </c>
      <c r="D133" s="8" t="str">
        <f>IMPRODUCT(-1,D131,IMDIV(D76,IMSUM(D76,D77)))</f>
        <v>-0.329048191046877+3.29048191046877i</v>
      </c>
      <c r="E133" s="66"/>
    </row>
    <row r="134" spans="2:5" x14ac:dyDescent="0.25">
      <c r="B134" s="98"/>
      <c r="C134" s="13" t="s">
        <v>93</v>
      </c>
      <c r="D134" s="13" t="str">
        <f>IMSUM(D133,IMPRODUCT(COMPLEX(-0.5,-0.866),D131),IMPRODUCT(COMPLEX(-0.5,0.866),D132))</f>
        <v>-8.6867291028399+4.11640718407619i</v>
      </c>
      <c r="E134" s="35" t="s">
        <v>36</v>
      </c>
    </row>
    <row r="135" spans="2:5" x14ac:dyDescent="0.25">
      <c r="B135" s="98"/>
      <c r="C135" s="13" t="s">
        <v>77</v>
      </c>
      <c r="D135" s="13" t="str">
        <f>IMPRODUCT(D134,D67,D68)</f>
        <v>-15.198280325495+7.20205609923051i</v>
      </c>
      <c r="E135" s="66" t="s">
        <v>9</v>
      </c>
    </row>
    <row r="136" spans="2:5" x14ac:dyDescent="0.25">
      <c r="B136" s="98"/>
      <c r="C136" s="95" t="s">
        <v>92</v>
      </c>
      <c r="D136" s="32">
        <f>IMABS(D135)</f>
        <v>16.818363086483529</v>
      </c>
      <c r="E136" s="33" t="s">
        <v>9</v>
      </c>
    </row>
    <row r="137" spans="2:5" x14ac:dyDescent="0.25">
      <c r="B137" s="98"/>
      <c r="C137" s="96"/>
      <c r="D137" s="32">
        <f>IMARGUMENT(D135)*180/3.14</f>
        <v>154.72342398681235</v>
      </c>
      <c r="E137" s="33" t="s">
        <v>56</v>
      </c>
    </row>
    <row r="138" spans="2:5" x14ac:dyDescent="0.25">
      <c r="B138" s="98"/>
      <c r="C138" s="13" t="s">
        <v>91</v>
      </c>
      <c r="D138" s="13" t="str">
        <f>IMSUM(D133,IMPRODUCT(COMPLEX(-0.5,0.866),D131),IMPRODUCT(COMPLEX(-0.5,-0.866),D132))</f>
        <v>7.69958452969926+5.75503854733011i</v>
      </c>
      <c r="E138" s="35" t="s">
        <v>36</v>
      </c>
    </row>
    <row r="139" spans="2:5" x14ac:dyDescent="0.25">
      <c r="B139" s="98"/>
      <c r="C139" s="13" t="s">
        <v>76</v>
      </c>
      <c r="D139" s="13" t="str">
        <f>IMPRODUCT(D138,D67,D68)</f>
        <v>13.4711745568256+10.0690015874626i</v>
      </c>
      <c r="E139" s="66" t="s">
        <v>9</v>
      </c>
    </row>
    <row r="140" spans="2:5" x14ac:dyDescent="0.25">
      <c r="B140" s="98"/>
      <c r="C140" s="95" t="s">
        <v>76</v>
      </c>
      <c r="D140" s="32">
        <f>IMABS(IMPRODUCT(-1,D139))</f>
        <v>16.818363086483469</v>
      </c>
      <c r="E140" s="33" t="s">
        <v>9</v>
      </c>
    </row>
    <row r="141" spans="2:5" x14ac:dyDescent="0.25">
      <c r="B141" s="98"/>
      <c r="C141" s="96"/>
      <c r="D141" s="32">
        <f>IMARGUMENT(D139)*180/3.14</f>
        <v>36.794853893118173</v>
      </c>
      <c r="E141" s="33" t="s">
        <v>56</v>
      </c>
    </row>
    <row r="142" spans="2:5" x14ac:dyDescent="0.25">
      <c r="B142" s="98"/>
      <c r="C142" s="39" t="s">
        <v>65</v>
      </c>
      <c r="D142" s="39"/>
      <c r="E142" s="40"/>
    </row>
    <row r="143" spans="2:5" x14ac:dyDescent="0.25">
      <c r="B143" s="98"/>
      <c r="C143" s="25" t="s">
        <v>67</v>
      </c>
      <c r="D143" s="25" t="str">
        <f>IMSUB(1,IMPRODUCT(D131,D75))</f>
        <v>0.326101379580124</v>
      </c>
      <c r="E143" s="34" t="s">
        <v>36</v>
      </c>
    </row>
    <row r="144" spans="2:5" x14ac:dyDescent="0.25">
      <c r="B144" s="98"/>
      <c r="C144" s="25" t="s">
        <v>68</v>
      </c>
      <c r="D144" s="25" t="str">
        <f>IMPRODUCT(-1,D132,D76)</f>
        <v>0.326101379580126</v>
      </c>
      <c r="E144" s="34" t="s">
        <v>36</v>
      </c>
    </row>
    <row r="145" spans="2:5" x14ac:dyDescent="0.25">
      <c r="B145" s="98"/>
      <c r="C145" s="25" t="s">
        <v>66</v>
      </c>
      <c r="D145" s="25" t="str">
        <f>IMPRODUCT(-1,D133,D77)</f>
        <v>0.326101379580125</v>
      </c>
      <c r="E145" s="34" t="s">
        <v>36</v>
      </c>
    </row>
    <row r="146" spans="2:5" x14ac:dyDescent="0.25">
      <c r="B146" s="98"/>
      <c r="C146" s="39" t="s">
        <v>69</v>
      </c>
      <c r="D146" s="39"/>
      <c r="E146" s="40"/>
    </row>
    <row r="147" spans="2:5" x14ac:dyDescent="0.25">
      <c r="B147" s="98"/>
      <c r="C147" s="25" t="s">
        <v>81</v>
      </c>
      <c r="D147" s="25" t="str">
        <f>IMSUM(D143,D144,D145)</f>
        <v>0.978304138740375</v>
      </c>
      <c r="E147" s="34" t="s">
        <v>36</v>
      </c>
    </row>
    <row r="148" spans="2:5" x14ac:dyDescent="0.25">
      <c r="B148" s="98"/>
      <c r="C148" s="36" t="s">
        <v>82</v>
      </c>
      <c r="D148" s="36" t="str">
        <f>IMPRODUCT(D147,D66/SQRT(3))</f>
        <v>18.6391972090857</v>
      </c>
      <c r="E148" s="38" t="s">
        <v>8</v>
      </c>
    </row>
    <row r="149" spans="2:5" x14ac:dyDescent="0.25">
      <c r="B149" s="98"/>
      <c r="C149" s="36"/>
      <c r="D149" s="36">
        <f>IMABS(D148)</f>
        <v>18.639197209085701</v>
      </c>
      <c r="E149" s="38" t="s">
        <v>8</v>
      </c>
    </row>
    <row r="150" spans="2:5" x14ac:dyDescent="0.25">
      <c r="B150" s="98"/>
      <c r="C150" s="36"/>
      <c r="D150" s="36">
        <f>IMARGUMENT(D148)*180/3.14</f>
        <v>0</v>
      </c>
      <c r="E150" s="38" t="s">
        <v>56</v>
      </c>
    </row>
    <row r="151" spans="2:5" x14ac:dyDescent="0.25">
      <c r="B151" s="98"/>
      <c r="C151" s="25" t="s">
        <v>71</v>
      </c>
      <c r="D151" s="25" t="str">
        <f>IMSUM(D145,IMPRODUCT(COMPLEX(-0.5,-0.866),D143),IMPRODUCT(COMPLEX(-0.5,0.866),D144))</f>
        <v>-2.77555756156289E-17+1.99840144432528E-15i</v>
      </c>
      <c r="E151" s="41" t="s">
        <v>36</v>
      </c>
    </row>
    <row r="152" spans="2:5" x14ac:dyDescent="0.25">
      <c r="B152" s="98"/>
      <c r="C152" s="36" t="s">
        <v>70</v>
      </c>
      <c r="D152" s="36" t="str">
        <f>IMPRODUCT(D151,D66/SQRT(3))</f>
        <v>-5.2881473875548E-16+3.80746611903945E-14i</v>
      </c>
      <c r="E152" s="38" t="s">
        <v>8</v>
      </c>
    </row>
    <row r="153" spans="2:5" x14ac:dyDescent="0.25">
      <c r="B153" s="98"/>
      <c r="C153" s="36"/>
      <c r="D153" s="74">
        <f>IMABS(D152)</f>
        <v>3.807833333788728E-14</v>
      </c>
      <c r="E153" s="38" t="s">
        <v>8</v>
      </c>
    </row>
    <row r="154" spans="2:5" x14ac:dyDescent="0.25">
      <c r="B154" s="98"/>
      <c r="C154" s="36"/>
      <c r="D154" s="74">
        <f>IMARGUMENT(D152)*180/3.14</f>
        <v>90.841776461992168</v>
      </c>
      <c r="E154" s="38" t="s">
        <v>56</v>
      </c>
    </row>
    <row r="155" spans="2:5" x14ac:dyDescent="0.25">
      <c r="B155" s="98"/>
      <c r="C155" s="25" t="s">
        <v>72</v>
      </c>
      <c r="D155" s="25" t="str">
        <f>IMSUM(D145,IMPRODUCT(COMPLEX(-0.5,0.866),D143),IMPRODUCT(COMPLEX(-0.5,-0.866),D144))</f>
        <v>-2.77555756156289E-17-1.99840144432528E-15i</v>
      </c>
      <c r="E155" s="34" t="s">
        <v>36</v>
      </c>
    </row>
    <row r="156" spans="2:5" x14ac:dyDescent="0.25">
      <c r="B156" s="98"/>
      <c r="C156" s="36" t="s">
        <v>70</v>
      </c>
      <c r="D156" s="36" t="str">
        <f>IMPRODUCT(D155,D66/SQRT(3))</f>
        <v>-5.2881473875548E-16-3.80746611903945E-14i</v>
      </c>
      <c r="E156" s="38" t="s">
        <v>8</v>
      </c>
    </row>
    <row r="157" spans="2:5" x14ac:dyDescent="0.25">
      <c r="B157" s="98"/>
      <c r="C157" s="36"/>
      <c r="D157" s="74">
        <f>IMABS(D156)</f>
        <v>3.807833333788728E-14</v>
      </c>
      <c r="E157" s="38" t="s">
        <v>8</v>
      </c>
    </row>
    <row r="158" spans="2:5" x14ac:dyDescent="0.25">
      <c r="B158" s="98"/>
      <c r="C158" s="36"/>
      <c r="D158" s="74">
        <f>IMARGUMENT(D156)*180/3.14</f>
        <v>-90.841776461992168</v>
      </c>
      <c r="E158" s="38" t="s">
        <v>56</v>
      </c>
    </row>
  </sheetData>
  <mergeCells count="31">
    <mergeCell ref="B130:B158"/>
    <mergeCell ref="C136:C137"/>
    <mergeCell ref="C140:C141"/>
    <mergeCell ref="C71:C72"/>
    <mergeCell ref="B79:B99"/>
    <mergeCell ref="F79:F84"/>
    <mergeCell ref="C83:C84"/>
    <mergeCell ref="B102:B128"/>
    <mergeCell ref="F102:F109"/>
    <mergeCell ref="C106:C107"/>
    <mergeCell ref="C108:C109"/>
    <mergeCell ref="B34:B53"/>
    <mergeCell ref="F34:F38"/>
    <mergeCell ref="C39:F39"/>
    <mergeCell ref="C50:F50"/>
    <mergeCell ref="F55:F58"/>
    <mergeCell ref="B56:B70"/>
    <mergeCell ref="C60:C61"/>
    <mergeCell ref="B2:F2"/>
    <mergeCell ref="B4:B31"/>
    <mergeCell ref="F4:F6"/>
    <mergeCell ref="C7:F7"/>
    <mergeCell ref="F8:F10"/>
    <mergeCell ref="C11:F11"/>
    <mergeCell ref="F12:F14"/>
    <mergeCell ref="C15:F15"/>
    <mergeCell ref="F16:F18"/>
    <mergeCell ref="C19:F19"/>
    <mergeCell ref="C20:F20"/>
    <mergeCell ref="F21:F27"/>
    <mergeCell ref="C28:F28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96CE-089D-41D1-B9D9-8E1938044B73}">
  <dimension ref="E2:H5"/>
  <sheetViews>
    <sheetView tabSelected="1" zoomScale="145" zoomScaleNormal="145" workbookViewId="0">
      <selection activeCell="J10" sqref="J10"/>
    </sheetView>
  </sheetViews>
  <sheetFormatPr defaultRowHeight="14.4" x14ac:dyDescent="0.3"/>
  <cols>
    <col min="7" max="7" width="5.33203125" customWidth="1"/>
    <col min="8" max="8" width="9.5546875" customWidth="1"/>
  </cols>
  <sheetData>
    <row r="2" spans="5:8" x14ac:dyDescent="0.3">
      <c r="E2" t="s">
        <v>134</v>
      </c>
      <c r="F2">
        <v>16.335000000000001</v>
      </c>
      <c r="G2" t="s">
        <v>9</v>
      </c>
    </row>
    <row r="3" spans="5:8" x14ac:dyDescent="0.3">
      <c r="E3" t="s">
        <v>135</v>
      </c>
      <c r="F3">
        <f>F2*2.2</f>
        <v>35.937000000000005</v>
      </c>
      <c r="G3" t="s">
        <v>9</v>
      </c>
    </row>
    <row r="4" spans="5:8" x14ac:dyDescent="0.3">
      <c r="H4">
        <v>41.075000000000003</v>
      </c>
    </row>
    <row r="5" spans="5:8" x14ac:dyDescent="0.3">
      <c r="H5">
        <f>H4/F2</f>
        <v>2.5145393327211512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3EEE-DF1E-4405-845B-3A4982E9994D}">
  <dimension ref="E3:F7"/>
  <sheetViews>
    <sheetView zoomScale="130" zoomScaleNormal="130" workbookViewId="0">
      <selection activeCell="E7" sqref="E7:F7"/>
    </sheetView>
  </sheetViews>
  <sheetFormatPr defaultRowHeight="14.4" x14ac:dyDescent="0.3"/>
  <cols>
    <col min="5" max="5" width="25.44140625" bestFit="1" customWidth="1"/>
    <col min="6" max="6" width="20.6640625" customWidth="1"/>
  </cols>
  <sheetData>
    <row r="3" spans="5:6" ht="15" thickBot="1" x14ac:dyDescent="0.35"/>
    <row r="4" spans="5:6" x14ac:dyDescent="0.3">
      <c r="E4" s="5" t="s">
        <v>1</v>
      </c>
      <c r="F4" s="6" t="s">
        <v>2</v>
      </c>
    </row>
    <row r="5" spans="5:6" x14ac:dyDescent="0.3">
      <c r="E5" s="11" t="s">
        <v>16</v>
      </c>
      <c r="F5" s="12" t="s">
        <v>13</v>
      </c>
    </row>
    <row r="6" spans="5:6" x14ac:dyDescent="0.3">
      <c r="E6" s="11" t="s">
        <v>21</v>
      </c>
      <c r="F6" s="12" t="s">
        <v>17</v>
      </c>
    </row>
    <row r="7" spans="5:6" x14ac:dyDescent="0.3">
      <c r="E7" s="11" t="s">
        <v>22</v>
      </c>
      <c r="F7" s="12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D205-8D56-49F3-BF70-AF083B375A3D}">
  <dimension ref="C2:J12"/>
  <sheetViews>
    <sheetView zoomScale="145" zoomScaleNormal="145" workbookViewId="0">
      <selection activeCell="J3" sqref="J3"/>
    </sheetView>
  </sheetViews>
  <sheetFormatPr defaultRowHeight="14.4" x14ac:dyDescent="0.3"/>
  <cols>
    <col min="9" max="9" width="13.6640625" customWidth="1"/>
  </cols>
  <sheetData>
    <row r="2" spans="3:10" x14ac:dyDescent="0.3">
      <c r="J2">
        <v>0.1</v>
      </c>
    </row>
    <row r="3" spans="3:10" x14ac:dyDescent="0.3">
      <c r="C3" s="100"/>
      <c r="D3" s="100" t="s">
        <v>5</v>
      </c>
      <c r="E3" s="100"/>
    </row>
    <row r="4" spans="3:10" x14ac:dyDescent="0.3">
      <c r="C4" s="100"/>
      <c r="D4" s="101" t="s">
        <v>126</v>
      </c>
      <c r="E4" s="101"/>
    </row>
    <row r="5" spans="3:10" x14ac:dyDescent="0.3">
      <c r="C5" s="100"/>
      <c r="D5" s="101" t="s">
        <v>127</v>
      </c>
      <c r="E5" s="101"/>
      <c r="I5">
        <v>6.5607985135184756E-3</v>
      </c>
    </row>
    <row r="6" spans="3:10" x14ac:dyDescent="0.3">
      <c r="C6" s="100"/>
      <c r="D6" s="101" t="s">
        <v>128</v>
      </c>
      <c r="E6" s="101"/>
    </row>
    <row r="7" spans="3:10" x14ac:dyDescent="0.3">
      <c r="C7" s="100"/>
      <c r="D7" s="101" t="s">
        <v>127</v>
      </c>
      <c r="E7" s="101"/>
    </row>
    <row r="8" spans="3:10" x14ac:dyDescent="0.3">
      <c r="C8" s="100"/>
      <c r="D8" s="101" t="s">
        <v>129</v>
      </c>
      <c r="E8" s="101"/>
    </row>
    <row r="9" spans="3:10" x14ac:dyDescent="0.3">
      <c r="C9" s="100"/>
      <c r="D9" s="100" t="s">
        <v>30</v>
      </c>
      <c r="E9" s="100"/>
    </row>
    <row r="10" spans="3:10" x14ac:dyDescent="0.3">
      <c r="C10" s="100"/>
      <c r="D10" s="101" t="s">
        <v>130</v>
      </c>
      <c r="E10" s="101"/>
    </row>
    <row r="11" spans="3:10" x14ac:dyDescent="0.3">
      <c r="C11" s="100" t="s">
        <v>131</v>
      </c>
      <c r="D11" s="101" t="s">
        <v>127</v>
      </c>
      <c r="E11" s="101"/>
    </row>
    <row r="12" spans="3:10" x14ac:dyDescent="0.3">
      <c r="C12" s="100"/>
      <c r="D12" s="100" t="s">
        <v>132</v>
      </c>
      <c r="E12" s="10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6268FB5F6D644A1ACBFCDE46178D3" ma:contentTypeVersion="12" ma:contentTypeDescription="Create a new document." ma:contentTypeScope="" ma:versionID="856285b97c8cdc8128f92cca7f27432e">
  <xsd:schema xmlns:xsd="http://www.w3.org/2001/XMLSchema" xmlns:xs="http://www.w3.org/2001/XMLSchema" xmlns:p="http://schemas.microsoft.com/office/2006/metadata/properties" xmlns:ns2="5347c5ce-7d7f-414e-90e0-94bd77896727" xmlns:ns3="10d9bdc0-720c-4bfa-9486-f5185911b858" targetNamespace="http://schemas.microsoft.com/office/2006/metadata/properties" ma:root="true" ma:fieldsID="b710fc4ac61f7f6c69219b6490d5900b" ns2:_="" ns3:_="">
    <xsd:import namespace="5347c5ce-7d7f-414e-90e0-94bd77896727"/>
    <xsd:import namespace="10d9bdc0-720c-4bfa-9486-f5185911b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7c5ce-7d7f-414e-90e0-94bd778967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d22da64-3c0a-43d6-abd1-de18602aae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9bdc0-720c-4bfa-9486-f5185911b85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cd8640-a7be-4358-ba51-b5c5e24ba7d8}" ma:internalName="TaxCatchAll" ma:showField="CatchAllData" ma:web="10d9bdc0-720c-4bfa-9486-f5185911b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d9bdc0-720c-4bfa-9486-f5185911b858" xsi:nil="true"/>
    <lcf76f155ced4ddcb4097134ff3c332f xmlns="5347c5ce-7d7f-414e-90e0-94bd778967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16FEC6-01F2-4A06-9067-568895C71F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7355FD-AC0D-45BB-BD48-1EFC2797D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47c5ce-7d7f-414e-90e0-94bd77896727"/>
    <ds:schemaRef ds:uri="10d9bdc0-720c-4bfa-9486-f5185911b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7518F7-AF39-4791-A34B-08B080395CCF}">
  <ds:schemaRefs>
    <ds:schemaRef ds:uri="http://schemas.microsoft.com/office/2006/metadata/properties"/>
    <ds:schemaRef ds:uri="http://schemas.microsoft.com/office/infopath/2007/PartnerControls"/>
    <ds:schemaRef ds:uri="10d9bdc0-720c-4bfa-9486-f5185911b858"/>
    <ds:schemaRef ds:uri="5347c5ce-7d7f-414e-90e0-94bd778967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Rough calculation for pr</vt:lpstr>
      <vt:lpstr>Sheet3</vt:lpstr>
      <vt:lpstr>Sheet2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kumar lingan</dc:creator>
  <cp:lastModifiedBy>Jeyakumar velusamy</cp:lastModifiedBy>
  <dcterms:created xsi:type="dcterms:W3CDTF">2020-01-31T09:39:46Z</dcterms:created>
  <dcterms:modified xsi:type="dcterms:W3CDTF">2025-10-05T15:34:54Z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0x0101007AC6268FB5F6D644A1ACBFCDE46178D3</vt:lpwstr>
  </property>
  <property fmtid="{D5CDD505-2E9C-101B-9397-08002B2CF9AE}" pid="3" name="MediaServiceImageTags">
    <vt:lpwstr/>
  </property>
</Properties>
</file>